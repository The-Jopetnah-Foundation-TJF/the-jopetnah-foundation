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coring" sheetId="2" state="visible" r:id="rId4"/>
  </sheets>
  <definedNames>
    <definedName function="false" hidden="true" localSheetId="1" name="_xlnm._FilterDatabase" vbProcedure="false">Scoring!$A$4:$H$4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<sst xmlns="http://schemas.openxmlformats.org/spreadsheetml/2006/main" count="139" uniqueCount="117">
  <si>
    <t xml:space="preserve">District Scoring Worksheet</t>
  </si>
  <si>
    <t xml:space="preserve">Which district should host TJF's shared Year-1 pilot?  |  Version 1.0, September 2026  |  Internal working document</t>
  </si>
  <si>
    <t xml:space="preserve">Purpose</t>
  </si>
  <si>
    <t xml:space="preserve">Four pillar dossiers (Health, Education, Livelihoods, Environment) and the Animal Health Initiative blueprint each list their own district-selection criteria, but none has a chosen district yet. This sheet scores candidate districts against all five sets of criteria side by side, so one shared district can be chosen — the strongest integration story is the same households benefiting from all five pilots at once.</t>
  </si>
  <si>
    <t xml:space="preserve">Pre-filled districts</t>
  </si>
  <si>
    <t xml:space="preserve">Adjumani, Moyo and Nebbi are pre-filled because the Animal Health Initiative blueprint already named them as its three pilot districts. Scoring them here tests whether one of the three also fits the other four pilots well enough to be the single shared district. A fourth column is left blank for any other candidate. Add more columns (copy the pattern) if you want to test more.</t>
  </si>
  <si>
    <t xml:space="preserve">How to score</t>
  </si>
  <si>
    <t xml:space="preserve">•  Open the Scoring sheet. Each row is one criterion, grouped by which pilot it comes from.</t>
  </si>
  <si>
    <t xml:space="preserve">•  For each district column, enter a score from 1 (poor fit) to 5 (excellent fit) in the yellow cells. Leave blank if you don't yet have enough information — blanks are excluded from the average, not scored as zero.</t>
  </si>
  <si>
    <t xml:space="preserve">•  Weight (column D) defaults to 1. Raise it above 1 for a criterion that matters more to TJF right now (for example, overlap with other pilots), or lower it for one that matters less. This is a judgement call, not a fixed rule.</t>
  </si>
  <si>
    <t xml:space="preserve">•  The Pilot Fit Score for each district and pilot is a weighted average, so it stays on a 1–5 scale no matter how many criteria are filled in.</t>
  </si>
  <si>
    <t xml:space="preserve">•  The Overall Score at the bottom is the average of the five Pilot Fit Scores, so no single pilot dominates just because it has more criteria rows.</t>
  </si>
  <si>
    <t xml:space="preserve">•  Ranks update automatically. Record the final decision and date at the bottom of the Scoring sheet once leadership (or you) has chosen.</t>
  </si>
  <si>
    <t xml:space="preserve">What we already know about the pre-filled districts</t>
  </si>
  <si>
    <t xml:space="preserve">Topic</t>
  </si>
  <si>
    <t xml:space="preserve">What's known</t>
  </si>
  <si>
    <t xml:space="preserve">Source</t>
  </si>
  <si>
    <t xml:space="preserve">Regional context</t>
  </si>
  <si>
    <t xml:space="preserve">Northern Uganda (which includes West Nile, where Adjumani, Moyo and Nebbi sit) recorded the highest animal-bite incidence in the country between 2001 and 2015 (76 per 100,000), though this data is now dated.</t>
  </si>
  <si>
    <t xml:space="preserve">Health / AHI dossiers</t>
  </si>
  <si>
    <t xml:space="preserve">Border and refugee context</t>
  </si>
  <si>
    <t xml:space="preserve">Adjumani and Moyo border South Sudan; Nebbi lies along the Lake Albert shoreline facing the DRC. Parts of the area host refugee settlements. This raises both need and coordination complexity.</t>
  </si>
  <si>
    <t xml:space="preserve">AHI blueprint (marked to verify with district and humanitarian partners)</t>
  </si>
  <si>
    <t xml:space="preserve">District-level data</t>
  </si>
  <si>
    <t xml:space="preserve">None of the five dossiers has district-specific data yet (malaria burden, land availability, savings-group density, school quality, borehole lists). All scores below are placeholders until that data is collected.</t>
  </si>
  <si>
    <t xml:space="preserve">All five dossiers</t>
  </si>
  <si>
    <t xml:space="preserve">Colour legend</t>
  </si>
  <si>
    <t xml:space="preserve">Yellow fill, blue text</t>
  </si>
  <si>
    <t xml:space="preserve">Score or weight to enter yourself</t>
  </si>
  <si>
    <t xml:space="preserve">Black text</t>
  </si>
  <si>
    <t xml:space="preserve">Formula — do not overwrite</t>
  </si>
  <si>
    <t xml:space="preserve">District scoring: five TJF pilots</t>
  </si>
  <si>
    <t xml:space="preserve">Score each yellow cell 1 (poor) to 5 (excellent). Leave blank if unknown. Weighted averages and ranks update automatically.</t>
  </si>
  <si>
    <t xml:space="preserve">Pilot</t>
  </si>
  <si>
    <t xml:space="preserve">Criterion</t>
  </si>
  <si>
    <t xml:space="preserve">Why it matters</t>
  </si>
  <si>
    <t xml:space="preserve">Weight</t>
  </si>
  <si>
    <t xml:space="preserve">Adjumani</t>
  </si>
  <si>
    <t xml:space="preserve">Moyo</t>
  </si>
  <si>
    <t xml:space="preserve">Nebbi</t>
  </si>
  <si>
    <t xml:space="preserve">Omoro</t>
  </si>
  <si>
    <t xml:space="preserve">Health</t>
  </si>
  <si>
    <t xml:space="preserve">Malaria transmission level</t>
  </si>
  <si>
    <t xml:space="preserve">Where the burden is highest</t>
  </si>
  <si>
    <t xml:space="preserve">Malaria vaccine already introduced</t>
  </si>
  <si>
    <t xml:space="preserve">Vaccine-dose follow-up is a core pilot activity</t>
  </si>
  <si>
    <t xml:space="preserve">CHEW deployment and VHT coverage</t>
  </si>
  <si>
    <t xml:space="preserve">Champions must fit existing structures</t>
  </si>
  <si>
    <t xml:space="preserve">Facility readiness and supplies</t>
  </si>
  <si>
    <t xml:space="preserve">Referrals need somewhere reliable to go</t>
  </si>
  <si>
    <t xml:space="preserve">Access and security</t>
  </si>
  <si>
    <t xml:space="preserve">Feasibility of household visits through the rains</t>
  </si>
  <si>
    <t xml:space="preserve">Pilot fit score — Health</t>
  </si>
  <si>
    <t xml:space="preserve">Environment</t>
  </si>
  <si>
    <t xml:space="preserve">Two schools with usable land, fencing, water</t>
  </si>
  <si>
    <t xml:space="preserve">Trees fail without land and care</t>
  </si>
  <si>
    <t xml:space="preserve">Clear land tenure / written permission available</t>
  </si>
  <si>
    <t xml:space="preserve">Prevents disputes over planted trees</t>
  </si>
  <si>
    <t xml:space="preserve">A district-listed, technically suitable non-functional borehole</t>
  </si>
  <si>
    <t xml:space="preserve">Rehabilitation only works on a sound source</t>
  </si>
  <si>
    <t xml:space="preserve">Community capacity to run a water user committee</t>
  </si>
  <si>
    <t xml:space="preserve">Management drives long-term durability</t>
  </si>
  <si>
    <t xml:space="preserve">Active school environment club or willing teachers</t>
  </si>
  <si>
    <t xml:space="preserve">Someone must lead daily tree care</t>
  </si>
  <si>
    <t xml:space="preserve">Pilot fit score — Environment</t>
  </si>
  <si>
    <t xml:space="preserve">Livelihoods</t>
  </si>
  <si>
    <t xml:space="preserve">Few existing savings groups / NGO programmes</t>
  </si>
  <si>
    <t xml:space="preserve">Avoids duplication and competition</t>
  </si>
  <si>
    <t xml:space="preserve">Access to a market or trading centre</t>
  </si>
  <si>
    <t xml:space="preserve">Small businesses need customers</t>
  </si>
  <si>
    <t xml:space="preserve">Women and youth willing to form groups</t>
  </si>
  <si>
    <t xml:space="preserve">Groups cannot be formed by outsiders alone</t>
  </si>
  <si>
    <t xml:space="preserve">Poorer households present and reachable</t>
  </si>
  <si>
    <t xml:space="preserve">Otherwise the pilot mainly serves the better-off</t>
  </si>
  <si>
    <t xml:space="preserve">Security and access through the rains</t>
  </si>
  <si>
    <t xml:space="preserve">Weekly group meetings and visits depend on it</t>
  </si>
  <si>
    <t xml:space="preserve">Pilot fit score — Livelihoods</t>
  </si>
  <si>
    <t xml:space="preserve">Education</t>
  </si>
  <si>
    <t xml:space="preserve">Vulnerability verifiable by district and school</t>
  </si>
  <si>
    <t xml:space="preserve">Selection must be fair and defensible</t>
  </si>
  <si>
    <t xml:space="preserve">A school with adequate teaching and a supportive head teacher</t>
  </si>
  <si>
    <t xml:space="preserve">Sponsorship only helps if the school itself works</t>
  </si>
  <si>
    <t xml:space="preserve">Room, power and security available for a digital hub</t>
  </si>
  <si>
    <t xml:space="preserve">Idle equipment is the most common failure mode</t>
  </si>
  <si>
    <t xml:space="preserve">Balance of girls and boys reachable; disability inclusion possible</t>
  </si>
  <si>
    <t xml:space="preserve">Equity of who benefits</t>
  </si>
  <si>
    <t xml:space="preserve">District Education Office willing to partner</t>
  </si>
  <si>
    <t xml:space="preserve">Sponsorship and hub both need district buy-in</t>
  </si>
  <si>
    <t xml:space="preserve">Pilot fit score — Education</t>
  </si>
  <si>
    <t xml:space="preserve">Animal Health Initiative</t>
  </si>
  <si>
    <t xml:space="preserve">Bite incidence and PEP demand</t>
  </si>
  <si>
    <t xml:space="preserve">Where the rabies need is greatest</t>
  </si>
  <si>
    <t xml:space="preserve">Existing government vaccine allocation</t>
  </si>
  <si>
    <t xml:space="preserve">Gap to fill and co-delivery potential</t>
  </si>
  <si>
    <t xml:space="preserve">Health-centre capacity</t>
  </si>
  <si>
    <t xml:space="preserve">Vaccination model relies on delivery alongside health centres</t>
  </si>
  <si>
    <t xml:space="preserve">District Rabies Task Force functioning</t>
  </si>
  <si>
    <t xml:space="preserve">Governance and uptake of pilot results</t>
  </si>
  <si>
    <t xml:space="preserve">Road access, season and security</t>
  </si>
  <si>
    <t xml:space="preserve">Feasibility of campaigns and cold-chain transport</t>
  </si>
  <si>
    <t xml:space="preserve">Pilot fit score — Animal Health Initiative</t>
  </si>
  <si>
    <t xml:space="preserve">Cross-cutting (all five pilots)</t>
  </si>
  <si>
    <t xml:space="preserve">Existing TJF or partner presence / relationships</t>
  </si>
  <si>
    <t xml:space="preserve">Faster start, lower coordination cost</t>
  </si>
  <si>
    <t xml:space="preserve">Willingness of district leadership to co-brand and co-deliver</t>
  </si>
  <si>
    <t xml:space="preserve">All five pilots position TJF as an implementer, not a parallel system</t>
  </si>
  <si>
    <t xml:space="preserve">Overall logistics: one team can reasonably cover the area</t>
  </si>
  <si>
    <t xml:space="preserve">Five pilots in one district only works if travel and coordination are realistic</t>
  </si>
  <si>
    <t xml:space="preserve">Pilot fit score — Cross-cutting (all five pilots)</t>
  </si>
  <si>
    <t xml:space="preserve">OVERALL SCORE (average of the five pilot fit scores)</t>
  </si>
  <si>
    <t xml:space="preserve">Rank (1 = strongest overall fit)</t>
  </si>
  <si>
    <t xml:space="preserve">Decision</t>
  </si>
  <si>
    <t xml:space="preserve">Chosen district</t>
  </si>
  <si>
    <t xml:space="preserve">Adjumani, Moyo, Nebbi &amp; Omoro (all four)</t>
  </si>
  <si>
    <t xml:space="preserve">Date decided:</t>
  </si>
  <si>
    <t xml:space="preserve">Notes / rationale</t>
  </si>
  <si>
    <t xml:space="preserve">Leadership decided TJF will operate across all four districts as a shared district set for the Animal Health Initiative and the four pillar pilots, rather than narrowing to one. The Animal Health Initiative blueprint's original three districts (Adjumani, Moyo, Nebbi) are unchanged; Omoro is added as the fourth. Individual scoring above can still guide which district each pillar starts in first, and the sequencing order across the four.</t>
  </si>
</sst>
</file>

<file path=xl/styles.xml><?xml version="1.0" encoding="utf-8"?>
<styleSheet xmlns="http://schemas.openxmlformats.org/spreadsheetml/2006/main">
  <numFmts count="3">
    <numFmt numFmtId="164" formatCode="General"/>
    <numFmt numFmtId="165" formatCode="0.00"/>
    <numFmt numFmtId="166" formatCode="dd\ mmm\ yyyy"/>
  </numFmts>
  <fonts count="15">
    <font>
      <sz val="11"/>
      <color theme="1"/>
      <name val="Calibri"/>
      <family val="2"/>
      <charset val="1"/>
    </font>
    <font>
      <sz val="10"/>
      <name val="Arial"/>
      <family val="0"/>
    </font>
    <font>
      <sz val="10"/>
      <name val="Arial"/>
      <family val="0"/>
    </font>
    <font>
      <sz val="10"/>
      <name val="Arial"/>
      <family val="0"/>
    </font>
    <font>
      <b val="true"/>
      <sz val="14"/>
      <color rgb="FF8F4A31"/>
      <name val="Arial"/>
      <family val="0"/>
      <charset val="1"/>
    </font>
    <font>
      <i val="true"/>
      <sz val="9"/>
      <color rgb="FF6B5B4E"/>
      <name val="Arial"/>
      <family val="0"/>
      <charset val="1"/>
    </font>
    <font>
      <b val="true"/>
      <sz val="11"/>
      <color rgb="FF32211A"/>
      <name val="Arial"/>
      <family val="0"/>
      <charset val="1"/>
    </font>
    <font>
      <sz val="10"/>
      <color rgb="FF000000"/>
      <name val="Arial"/>
      <family val="0"/>
      <charset val="1"/>
    </font>
    <font>
      <b val="true"/>
      <sz val="10"/>
      <color rgb="FFF3E9DC"/>
      <name val="Arial"/>
      <family val="0"/>
      <charset val="1"/>
    </font>
    <font>
      <b val="true"/>
      <sz val="10"/>
      <color rgb="FF000000"/>
      <name val="Arial"/>
      <family val="0"/>
      <charset val="1"/>
    </font>
    <font>
      <i val="true"/>
      <sz val="9"/>
      <color rgb="FF000000"/>
      <name val="Arial"/>
      <family val="0"/>
      <charset val="1"/>
    </font>
    <font>
      <sz val="10"/>
      <color rgb="FF0000FF"/>
      <name val="Arial"/>
      <family val="0"/>
      <charset val="1"/>
    </font>
    <font>
      <sz val="9"/>
      <color rgb="FF6B5B4E"/>
      <name val="Arial"/>
      <family val="0"/>
      <charset val="1"/>
    </font>
    <font>
      <b val="true"/>
      <sz val="10"/>
      <color rgb="FF32211A"/>
      <name val="Arial"/>
      <family val="0"/>
      <charset val="1"/>
    </font>
    <font>
      <b val="true"/>
      <sz val="12"/>
      <color rgb="FFF3E9DC"/>
      <name val="Arial"/>
      <family val="0"/>
      <charset val="1"/>
    </font>
  </fonts>
  <fills count="5">
    <fill>
      <patternFill patternType="none"/>
    </fill>
    <fill>
      <patternFill patternType="gray125"/>
    </fill>
    <fill>
      <patternFill patternType="solid">
        <fgColor rgb="FF32211A"/>
        <bgColor rgb="FF333300"/>
      </patternFill>
    </fill>
    <fill>
      <patternFill patternType="solid">
        <fgColor rgb="FFFFFF00"/>
        <bgColor rgb="FFFFFF00"/>
      </patternFill>
    </fill>
    <fill>
      <patternFill patternType="solid">
        <fgColor rgb="FFF3E9DC"/>
        <bgColor rgb="FFFFFFFF"/>
      </patternFill>
    </fill>
  </fills>
  <borders count="2">
    <border diagonalUp="false" diagonalDown="false">
      <left/>
      <right/>
      <top/>
      <bottom/>
      <diagonal/>
    </border>
    <border diagonalUp="false" diagonalDown="false">
      <left style="thin">
        <color rgb="FFD9CDBE"/>
      </left>
      <right style="thin">
        <color rgb="FFD9CDBE"/>
      </right>
      <top style="thin">
        <color rgb="FFD9CDBE"/>
      </top>
      <bottom style="thin">
        <color rgb="FFD9CDB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3"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5" fontId="13" fillId="4" borderId="1" xfId="0" applyFont="true" applyBorder="tru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5" fontId="14" fillId="2"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right" vertical="bottom" textRotation="0" wrapText="false" indent="0" shrinkToFit="false"/>
      <protection locked="true" hidden="false"/>
    </xf>
    <xf numFmtId="166" fontId="11" fillId="3" borderId="0" xfId="0" applyFont="true" applyBorder="fals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32211A"/>
          <bgColor rgb="FF000000"/>
        </patternFill>
      </fill>
    </dxf>
    <dxf>
      <fill>
        <patternFill patternType="solid">
          <fgColor rgb="FFF3E9D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DBE"/>
      <rgbColor rgb="FF808080"/>
      <rgbColor rgb="FF9999FF"/>
      <rgbColor rgb="FF993366"/>
      <rgbColor rgb="FFF3E9D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5B4E"/>
      <rgbColor rgb="FF969696"/>
      <rgbColor rgb="FF003366"/>
      <rgbColor rgb="FF339966"/>
      <rgbColor rgb="FF003300"/>
      <rgbColor rgb="FF333300"/>
      <rgbColor rgb="FF8F4A31"/>
      <rgbColor rgb="FF993366"/>
      <rgbColor rgb="FF333399"/>
      <rgbColor rgb="FF3221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28"/>
    <col collapsed="false" customWidth="true" hidden="false" outlineLevel="0" max="6" min="3" style="1" width="22"/>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row>
    <row r="5" customFormat="false" ht="57.75" hidden="false" customHeight="true" outlineLevel="0" collapsed="false">
      <c r="A5" s="5" t="s">
        <v>3</v>
      </c>
      <c r="B5" s="5"/>
      <c r="C5" s="5"/>
      <c r="D5" s="5"/>
      <c r="E5" s="5"/>
      <c r="F5" s="5"/>
    </row>
    <row r="7" customFormat="false" ht="15" hidden="false" customHeight="true" outlineLevel="0" collapsed="false">
      <c r="A7" s="4" t="s">
        <v>4</v>
      </c>
    </row>
    <row r="8" customFormat="false" ht="57.75" hidden="false" customHeight="true" outlineLevel="0" collapsed="false">
      <c r="A8" s="5" t="s">
        <v>5</v>
      </c>
      <c r="B8" s="5"/>
      <c r="C8" s="5"/>
      <c r="D8" s="5"/>
      <c r="E8" s="5"/>
      <c r="F8" s="5"/>
    </row>
    <row r="10" customFormat="false" ht="15" hidden="false" customHeight="true" outlineLevel="0" collapsed="false">
      <c r="A10" s="4" t="s">
        <v>6</v>
      </c>
    </row>
    <row r="11" customFormat="false" ht="30" hidden="false" customHeight="true" outlineLevel="0" collapsed="false">
      <c r="A11" s="5" t="s">
        <v>7</v>
      </c>
      <c r="B11" s="5"/>
      <c r="C11" s="5"/>
      <c r="D11" s="5"/>
      <c r="E11" s="5"/>
      <c r="F11" s="5"/>
    </row>
    <row r="12" customFormat="false" ht="30" hidden="false" customHeight="true" outlineLevel="0" collapsed="false">
      <c r="A12" s="5" t="s">
        <v>8</v>
      </c>
      <c r="B12" s="5"/>
      <c r="C12" s="5"/>
      <c r="D12" s="5"/>
      <c r="E12" s="5"/>
      <c r="F12" s="5"/>
    </row>
    <row r="13" customFormat="false" ht="30" hidden="false" customHeight="true" outlineLevel="0" collapsed="false">
      <c r="A13" s="5" t="s">
        <v>9</v>
      </c>
      <c r="B13" s="5"/>
      <c r="C13" s="5"/>
      <c r="D13" s="5"/>
      <c r="E13" s="5"/>
      <c r="F13" s="5"/>
    </row>
    <row r="14" customFormat="false" ht="30" hidden="false" customHeight="true" outlineLevel="0" collapsed="false">
      <c r="A14" s="5" t="s">
        <v>10</v>
      </c>
      <c r="B14" s="5"/>
      <c r="C14" s="5"/>
      <c r="D14" s="5"/>
      <c r="E14" s="5"/>
      <c r="F14" s="5"/>
    </row>
    <row r="15" customFormat="false" ht="30" hidden="false" customHeight="true" outlineLevel="0" collapsed="false">
      <c r="A15" s="5" t="s">
        <v>11</v>
      </c>
      <c r="B15" s="5"/>
      <c r="C15" s="5"/>
      <c r="D15" s="5"/>
      <c r="E15" s="5"/>
      <c r="F15" s="5"/>
    </row>
    <row r="16" customFormat="false" ht="30" hidden="false" customHeight="true" outlineLevel="0" collapsed="false">
      <c r="A16" s="5" t="s">
        <v>12</v>
      </c>
      <c r="B16" s="5"/>
      <c r="C16" s="5"/>
      <c r="D16" s="5"/>
      <c r="E16" s="5"/>
      <c r="F16" s="5"/>
    </row>
    <row r="18" customFormat="false" ht="15" hidden="false" customHeight="true" outlineLevel="0" collapsed="false">
      <c r="A18" s="4" t="s">
        <v>13</v>
      </c>
    </row>
    <row r="19" customFormat="false" ht="15" hidden="false" customHeight="true" outlineLevel="0" collapsed="false">
      <c r="A19" s="6" t="s">
        <v>14</v>
      </c>
      <c r="B19" s="6" t="s">
        <v>15</v>
      </c>
      <c r="C19" s="6" t="s">
        <v>16</v>
      </c>
    </row>
    <row r="20" customFormat="false" ht="43.5" hidden="false" customHeight="true" outlineLevel="0" collapsed="false">
      <c r="A20" s="7" t="s">
        <v>17</v>
      </c>
      <c r="B20" s="8" t="s">
        <v>18</v>
      </c>
      <c r="C20" s="8"/>
      <c r="D20" s="8"/>
      <c r="E20" s="9" t="s">
        <v>19</v>
      </c>
      <c r="F20" s="9"/>
    </row>
    <row r="21" customFormat="false" ht="43.5" hidden="false" customHeight="true" outlineLevel="0" collapsed="false">
      <c r="A21" s="7" t="s">
        <v>20</v>
      </c>
      <c r="B21" s="8" t="s">
        <v>21</v>
      </c>
      <c r="C21" s="8"/>
      <c r="D21" s="8"/>
      <c r="E21" s="9" t="s">
        <v>22</v>
      </c>
      <c r="F21" s="9"/>
    </row>
    <row r="22" customFormat="false" ht="43.5" hidden="false" customHeight="true" outlineLevel="0" collapsed="false">
      <c r="A22" s="7" t="s">
        <v>23</v>
      </c>
      <c r="B22" s="8" t="s">
        <v>24</v>
      </c>
      <c r="C22" s="8"/>
      <c r="D22" s="8"/>
      <c r="E22" s="9" t="s">
        <v>25</v>
      </c>
      <c r="F22" s="9"/>
    </row>
    <row r="24" customFormat="false" ht="15" hidden="false" customHeight="true" outlineLevel="0" collapsed="false">
      <c r="A24" s="4" t="s">
        <v>26</v>
      </c>
    </row>
    <row r="25" customFormat="false" ht="15" hidden="false" customHeight="true" outlineLevel="0" collapsed="false">
      <c r="A25" s="10" t="s">
        <v>27</v>
      </c>
      <c r="B25" s="11" t="s">
        <v>28</v>
      </c>
    </row>
    <row r="26" customFormat="false" ht="15" hidden="false" customHeight="true" outlineLevel="0" collapsed="false">
      <c r="A26" s="11" t="s">
        <v>29</v>
      </c>
      <c r="B26" s="11" t="s">
        <v>30</v>
      </c>
    </row>
  </sheetData>
  <mergeCells count="14">
    <mergeCell ref="A5:F5"/>
    <mergeCell ref="A8:F8"/>
    <mergeCell ref="A11:F11"/>
    <mergeCell ref="A12:F12"/>
    <mergeCell ref="A13:F13"/>
    <mergeCell ref="A14:F14"/>
    <mergeCell ref="A15:F15"/>
    <mergeCell ref="A16:F16"/>
    <mergeCell ref="B20:D20"/>
    <mergeCell ref="E20:F20"/>
    <mergeCell ref="B21:D21"/>
    <mergeCell ref="E21:F21"/>
    <mergeCell ref="B22:D22"/>
    <mergeCell ref="E22:F2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42"/>
    <col collapsed="false" customWidth="true" hidden="false" outlineLevel="0" max="3" min="3" style="1" width="34"/>
    <col collapsed="false" customWidth="true" hidden="false" outlineLevel="0" max="4" min="4" style="1" width="9"/>
    <col collapsed="false" customWidth="true" hidden="false" outlineLevel="0" max="8" min="5" style="1" width="13"/>
  </cols>
  <sheetData>
    <row r="1" customFormat="false" ht="17.25" hidden="false" customHeight="true" outlineLevel="0" collapsed="false">
      <c r="A1" s="2" t="s">
        <v>31</v>
      </c>
    </row>
    <row r="2" customFormat="false" ht="15" hidden="false" customHeight="true" outlineLevel="0" collapsed="false">
      <c r="A2" s="3" t="s">
        <v>32</v>
      </c>
    </row>
    <row r="4" customFormat="false" ht="15" hidden="false" customHeight="true" outlineLevel="0" collapsed="false">
      <c r="A4" s="6" t="s">
        <v>33</v>
      </c>
      <c r="B4" s="6" t="s">
        <v>34</v>
      </c>
      <c r="C4" s="6" t="s">
        <v>35</v>
      </c>
      <c r="D4" s="6" t="s">
        <v>36</v>
      </c>
      <c r="E4" s="6" t="s">
        <v>37</v>
      </c>
      <c r="F4" s="6" t="s">
        <v>38</v>
      </c>
      <c r="G4" s="6" t="s">
        <v>39</v>
      </c>
      <c r="H4" s="6" t="s">
        <v>40</v>
      </c>
    </row>
    <row r="5" customFormat="false" ht="15" hidden="false" customHeight="true" outlineLevel="0" collapsed="false">
      <c r="A5" s="12" t="s">
        <v>41</v>
      </c>
      <c r="B5" s="8" t="s">
        <v>42</v>
      </c>
      <c r="C5" s="13" t="s">
        <v>43</v>
      </c>
      <c r="D5" s="14" t="n">
        <v>1</v>
      </c>
      <c r="E5" s="14"/>
      <c r="F5" s="14"/>
      <c r="G5" s="14"/>
      <c r="H5" s="14"/>
    </row>
    <row r="6" customFormat="false" ht="15" hidden="false" customHeight="true" outlineLevel="0" collapsed="false">
      <c r="A6" s="12" t="s">
        <v>41</v>
      </c>
      <c r="B6" s="8" t="s">
        <v>44</v>
      </c>
      <c r="C6" s="13" t="s">
        <v>45</v>
      </c>
      <c r="D6" s="14" t="n">
        <v>1</v>
      </c>
      <c r="E6" s="14"/>
      <c r="F6" s="14"/>
      <c r="G6" s="14"/>
      <c r="H6" s="14"/>
    </row>
    <row r="7" customFormat="false" ht="15" hidden="false" customHeight="true" outlineLevel="0" collapsed="false">
      <c r="A7" s="12" t="s">
        <v>41</v>
      </c>
      <c r="B7" s="8" t="s">
        <v>46</v>
      </c>
      <c r="C7" s="13" t="s">
        <v>47</v>
      </c>
      <c r="D7" s="14" t="n">
        <v>1</v>
      </c>
      <c r="E7" s="14"/>
      <c r="F7" s="14"/>
      <c r="G7" s="14"/>
      <c r="H7" s="14"/>
    </row>
    <row r="8" customFormat="false" ht="15" hidden="false" customHeight="true" outlineLevel="0" collapsed="false">
      <c r="A8" s="12" t="s">
        <v>41</v>
      </c>
      <c r="B8" s="8" t="s">
        <v>48</v>
      </c>
      <c r="C8" s="13" t="s">
        <v>49</v>
      </c>
      <c r="D8" s="14" t="n">
        <v>1</v>
      </c>
      <c r="E8" s="14"/>
      <c r="F8" s="14"/>
      <c r="G8" s="14"/>
      <c r="H8" s="14"/>
    </row>
    <row r="9" customFormat="false" ht="21.75" hidden="false" customHeight="true" outlineLevel="0" collapsed="false">
      <c r="A9" s="12" t="s">
        <v>41</v>
      </c>
      <c r="B9" s="8" t="s">
        <v>50</v>
      </c>
      <c r="C9" s="13" t="s">
        <v>51</v>
      </c>
      <c r="D9" s="14" t="n">
        <v>1</v>
      </c>
      <c r="E9" s="14"/>
      <c r="F9" s="14"/>
      <c r="G9" s="14"/>
      <c r="H9" s="14"/>
    </row>
    <row r="10" customFormat="false" ht="15" hidden="false" customHeight="true" outlineLevel="0" collapsed="false">
      <c r="A10" s="15" t="s">
        <v>52</v>
      </c>
      <c r="B10" s="15"/>
      <c r="C10" s="15"/>
      <c r="D10" s="16"/>
      <c r="E10" s="17" t="str">
        <f aca="false">IFERROR(SUMPRODUCT((E5:E9&lt;&gt;"")*E5:E9*$D$5:$D$9)/SUMPRODUCT((E5:E9&lt;&gt;"")*$D$5:$D$9),"")</f>
        <v/>
      </c>
      <c r="F10" s="17" t="str">
        <f aca="false">IFERROR(SUMPRODUCT((F5:F9&lt;&gt;"")*F5:F9*$D$5:$D$9)/SUMPRODUCT((F5:F9&lt;&gt;"")*$D$5:$D$9),"")</f>
        <v/>
      </c>
      <c r="G10" s="17" t="str">
        <f aca="false">IFERROR(SUMPRODUCT((G5:G9&lt;&gt;"")*G5:G9*$D$5:$D$9)/SUMPRODUCT((G5:G9&lt;&gt;"")*$D$5:$D$9),"")</f>
        <v/>
      </c>
      <c r="H10" s="17" t="str">
        <f aca="false">IFERROR(SUMPRODUCT((H5:H9&lt;&gt;"")*H5:H9*$D$5:$D$9)/SUMPRODUCT((H5:H9&lt;&gt;"")*$D$5:$D$9),"")</f>
        <v/>
      </c>
    </row>
    <row r="12" customFormat="false" ht="15" hidden="false" customHeight="true" outlineLevel="0" collapsed="false">
      <c r="A12" s="12" t="s">
        <v>53</v>
      </c>
      <c r="B12" s="8" t="s">
        <v>54</v>
      </c>
      <c r="C12" s="13" t="s">
        <v>55</v>
      </c>
      <c r="D12" s="14" t="n">
        <v>1</v>
      </c>
      <c r="E12" s="14"/>
      <c r="F12" s="14"/>
      <c r="G12" s="14"/>
      <c r="H12" s="14"/>
    </row>
    <row r="13" customFormat="false" ht="15" hidden="false" customHeight="true" outlineLevel="0" collapsed="false">
      <c r="A13" s="12" t="s">
        <v>53</v>
      </c>
      <c r="B13" s="8" t="s">
        <v>56</v>
      </c>
      <c r="C13" s="13" t="s">
        <v>57</v>
      </c>
      <c r="D13" s="14" t="n">
        <v>1</v>
      </c>
      <c r="E13" s="14"/>
      <c r="F13" s="14"/>
      <c r="G13" s="14"/>
      <c r="H13" s="14"/>
    </row>
    <row r="14" customFormat="false" ht="23.25" hidden="false" customHeight="true" outlineLevel="0" collapsed="false">
      <c r="A14" s="12" t="s">
        <v>53</v>
      </c>
      <c r="B14" s="8" t="s">
        <v>58</v>
      </c>
      <c r="C14" s="13" t="s">
        <v>59</v>
      </c>
      <c r="D14" s="14" t="n">
        <v>1</v>
      </c>
      <c r="E14" s="14"/>
      <c r="F14" s="14"/>
      <c r="G14" s="14"/>
      <c r="H14" s="14"/>
    </row>
    <row r="15" customFormat="false" ht="15" hidden="false" customHeight="true" outlineLevel="0" collapsed="false">
      <c r="A15" s="12" t="s">
        <v>53</v>
      </c>
      <c r="B15" s="8" t="s">
        <v>60</v>
      </c>
      <c r="C15" s="13" t="s">
        <v>61</v>
      </c>
      <c r="D15" s="14" t="n">
        <v>1</v>
      </c>
      <c r="E15" s="14"/>
      <c r="F15" s="14"/>
      <c r="G15" s="14"/>
      <c r="H15" s="14"/>
    </row>
    <row r="16" customFormat="false" ht="15" hidden="false" customHeight="true" outlineLevel="0" collapsed="false">
      <c r="A16" s="12" t="s">
        <v>53</v>
      </c>
      <c r="B16" s="8" t="s">
        <v>62</v>
      </c>
      <c r="C16" s="13" t="s">
        <v>63</v>
      </c>
      <c r="D16" s="14" t="n">
        <v>1</v>
      </c>
      <c r="E16" s="14"/>
      <c r="F16" s="14"/>
      <c r="G16" s="14"/>
      <c r="H16" s="14"/>
    </row>
    <row r="17" customFormat="false" ht="15" hidden="false" customHeight="true" outlineLevel="0" collapsed="false">
      <c r="A17" s="15" t="s">
        <v>64</v>
      </c>
      <c r="B17" s="15"/>
      <c r="C17" s="15"/>
      <c r="D17" s="16"/>
      <c r="E17" s="17" t="str">
        <f aca="false">IFERROR(SUMPRODUCT((E12:E16&lt;&gt;"")*E12:E16*$D$12:$D$16)/SUMPRODUCT((E12:E16&lt;&gt;"")*$D$12:$D$16),"")</f>
        <v/>
      </c>
      <c r="F17" s="17" t="str">
        <f aca="false">IFERROR(SUMPRODUCT((F12:F16&lt;&gt;"")*F12:F16*$D$12:$D$16)/SUMPRODUCT((F12:F16&lt;&gt;"")*$D$12:$D$16),"")</f>
        <v/>
      </c>
      <c r="G17" s="17" t="str">
        <f aca="false">IFERROR(SUMPRODUCT((G12:G16&lt;&gt;"")*G12:G16*$D$12:$D$16)/SUMPRODUCT((G12:G16&lt;&gt;"")*$D$12:$D$16),"")</f>
        <v/>
      </c>
      <c r="H17" s="17" t="str">
        <f aca="false">IFERROR(SUMPRODUCT((H12:H16&lt;&gt;"")*H12:H16*$D$12:$D$16)/SUMPRODUCT((H12:H16&lt;&gt;"")*$D$12:$D$16),"")</f>
        <v/>
      </c>
    </row>
    <row r="19" customFormat="false" ht="15" hidden="false" customHeight="true" outlineLevel="0" collapsed="false">
      <c r="A19" s="12" t="s">
        <v>65</v>
      </c>
      <c r="B19" s="8" t="s">
        <v>66</v>
      </c>
      <c r="C19" s="13" t="s">
        <v>67</v>
      </c>
      <c r="D19" s="14" t="n">
        <v>1</v>
      </c>
      <c r="E19" s="14"/>
      <c r="F19" s="14"/>
      <c r="G19" s="14"/>
      <c r="H19" s="14"/>
    </row>
    <row r="20" customFormat="false" ht="15" hidden="false" customHeight="true" outlineLevel="0" collapsed="false">
      <c r="A20" s="12" t="s">
        <v>65</v>
      </c>
      <c r="B20" s="8" t="s">
        <v>68</v>
      </c>
      <c r="C20" s="13" t="s">
        <v>69</v>
      </c>
      <c r="D20" s="14" t="n">
        <v>1</v>
      </c>
      <c r="E20" s="14"/>
      <c r="F20" s="14"/>
      <c r="G20" s="14"/>
      <c r="H20" s="14"/>
    </row>
    <row r="21" customFormat="false" ht="15" hidden="false" customHeight="true" outlineLevel="0" collapsed="false">
      <c r="A21" s="12" t="s">
        <v>65</v>
      </c>
      <c r="B21" s="8" t="s">
        <v>70</v>
      </c>
      <c r="C21" s="13" t="s">
        <v>71</v>
      </c>
      <c r="D21" s="14" t="n">
        <v>1</v>
      </c>
      <c r="E21" s="14"/>
      <c r="F21" s="14"/>
      <c r="G21" s="14"/>
      <c r="H21" s="14"/>
    </row>
    <row r="22" customFormat="false" ht="21.75" hidden="false" customHeight="true" outlineLevel="0" collapsed="false">
      <c r="A22" s="12" t="s">
        <v>65</v>
      </c>
      <c r="B22" s="8" t="s">
        <v>72</v>
      </c>
      <c r="C22" s="13" t="s">
        <v>73</v>
      </c>
      <c r="D22" s="14" t="n">
        <v>1</v>
      </c>
      <c r="E22" s="14"/>
      <c r="F22" s="14"/>
      <c r="G22" s="14"/>
      <c r="H22" s="14"/>
    </row>
    <row r="23" customFormat="false" ht="21.75" hidden="false" customHeight="true" outlineLevel="0" collapsed="false">
      <c r="A23" s="12" t="s">
        <v>65</v>
      </c>
      <c r="B23" s="8" t="s">
        <v>74</v>
      </c>
      <c r="C23" s="13" t="s">
        <v>75</v>
      </c>
      <c r="D23" s="14" t="n">
        <v>1</v>
      </c>
      <c r="E23" s="14"/>
      <c r="F23" s="14"/>
      <c r="G23" s="14"/>
      <c r="H23" s="14"/>
    </row>
    <row r="24" customFormat="false" ht="15" hidden="false" customHeight="true" outlineLevel="0" collapsed="false">
      <c r="A24" s="15" t="s">
        <v>76</v>
      </c>
      <c r="B24" s="15"/>
      <c r="C24" s="15"/>
      <c r="D24" s="16"/>
      <c r="E24" s="17" t="str">
        <f aca="false">IFERROR(SUMPRODUCT((E19:E23&lt;&gt;"")*E19:E23*$D$19:$D$23)/SUMPRODUCT((E19:E23&lt;&gt;"")*$D$19:$D$23),"")</f>
        <v/>
      </c>
      <c r="F24" s="17" t="str">
        <f aca="false">IFERROR(SUMPRODUCT((F19:F23&lt;&gt;"")*F19:F23*$D$19:$D$23)/SUMPRODUCT((F19:F23&lt;&gt;"")*$D$19:$D$23),"")</f>
        <v/>
      </c>
      <c r="G24" s="17" t="str">
        <f aca="false">IFERROR(SUMPRODUCT((G19:G23&lt;&gt;"")*G19:G23*$D$19:$D$23)/SUMPRODUCT((G19:G23&lt;&gt;"")*$D$19:$D$23),"")</f>
        <v/>
      </c>
      <c r="H24" s="17" t="str">
        <f aca="false">IFERROR(SUMPRODUCT((H19:H23&lt;&gt;"")*H19:H23*$D$19:$D$23)/SUMPRODUCT((H19:H23&lt;&gt;"")*$D$19:$D$23),"")</f>
        <v/>
      </c>
    </row>
    <row r="26" customFormat="false" ht="15" hidden="false" customHeight="true" outlineLevel="0" collapsed="false">
      <c r="A26" s="12" t="s">
        <v>77</v>
      </c>
      <c r="B26" s="8" t="s">
        <v>78</v>
      </c>
      <c r="C26" s="13" t="s">
        <v>79</v>
      </c>
      <c r="D26" s="14" t="n">
        <v>1</v>
      </c>
      <c r="E26" s="14"/>
      <c r="F26" s="14"/>
      <c r="G26" s="14"/>
      <c r="H26" s="14"/>
    </row>
    <row r="27" customFormat="false" ht="23.25" hidden="false" customHeight="true" outlineLevel="0" collapsed="false">
      <c r="A27" s="12" t="s">
        <v>77</v>
      </c>
      <c r="B27" s="8" t="s">
        <v>80</v>
      </c>
      <c r="C27" s="13" t="s">
        <v>81</v>
      </c>
      <c r="D27" s="14" t="n">
        <v>1</v>
      </c>
      <c r="E27" s="14"/>
      <c r="F27" s="14"/>
      <c r="G27" s="14"/>
      <c r="H27" s="14"/>
    </row>
    <row r="28" customFormat="false" ht="23.25" hidden="false" customHeight="true" outlineLevel="0" collapsed="false">
      <c r="A28" s="12" t="s">
        <v>77</v>
      </c>
      <c r="B28" s="8" t="s">
        <v>82</v>
      </c>
      <c r="C28" s="13" t="s">
        <v>83</v>
      </c>
      <c r="D28" s="14" t="n">
        <v>1</v>
      </c>
      <c r="E28" s="14"/>
      <c r="F28" s="14"/>
      <c r="G28" s="14"/>
      <c r="H28" s="14"/>
    </row>
    <row r="29" customFormat="false" ht="23.25" hidden="false" customHeight="true" outlineLevel="0" collapsed="false">
      <c r="A29" s="12" t="s">
        <v>77</v>
      </c>
      <c r="B29" s="8" t="s">
        <v>84</v>
      </c>
      <c r="C29" s="13" t="s">
        <v>85</v>
      </c>
      <c r="D29" s="14" t="n">
        <v>1</v>
      </c>
      <c r="E29" s="14"/>
      <c r="F29" s="14"/>
      <c r="G29" s="14"/>
      <c r="H29" s="14"/>
    </row>
    <row r="30" customFormat="false" ht="21.75" hidden="false" customHeight="true" outlineLevel="0" collapsed="false">
      <c r="A30" s="12" t="s">
        <v>77</v>
      </c>
      <c r="B30" s="8" t="s">
        <v>86</v>
      </c>
      <c r="C30" s="13" t="s">
        <v>87</v>
      </c>
      <c r="D30" s="14" t="n">
        <v>1</v>
      </c>
      <c r="E30" s="14"/>
      <c r="F30" s="14"/>
      <c r="G30" s="14"/>
      <c r="H30" s="14"/>
    </row>
    <row r="31" customFormat="false" ht="15" hidden="false" customHeight="true" outlineLevel="0" collapsed="false">
      <c r="A31" s="15" t="s">
        <v>88</v>
      </c>
      <c r="B31" s="15"/>
      <c r="C31" s="15"/>
      <c r="D31" s="16"/>
      <c r="E31" s="17" t="str">
        <f aca="false">IFERROR(SUMPRODUCT((E26:E30&lt;&gt;"")*E26:E30*$D$26:$D$30)/SUMPRODUCT((E26:E30&lt;&gt;"")*$D$26:$D$30),"")</f>
        <v/>
      </c>
      <c r="F31" s="17" t="str">
        <f aca="false">IFERROR(SUMPRODUCT((F26:F30&lt;&gt;"")*F26:F30*$D$26:$D$30)/SUMPRODUCT((F26:F30&lt;&gt;"")*$D$26:$D$30),"")</f>
        <v/>
      </c>
      <c r="G31" s="17" t="str">
        <f aca="false">IFERROR(SUMPRODUCT((G26:G30&lt;&gt;"")*G26:G30*$D$26:$D$30)/SUMPRODUCT((G26:G30&lt;&gt;"")*$D$26:$D$30),"")</f>
        <v/>
      </c>
      <c r="H31" s="17" t="str">
        <f aca="false">IFERROR(SUMPRODUCT((H26:H30&lt;&gt;"")*H26:H30*$D$26:$D$30)/SUMPRODUCT((H26:H30&lt;&gt;"")*$D$26:$D$30),"")</f>
        <v/>
      </c>
    </row>
    <row r="33" customFormat="false" ht="15" hidden="false" customHeight="true" outlineLevel="0" collapsed="false">
      <c r="A33" s="12" t="s">
        <v>89</v>
      </c>
      <c r="B33" s="8" t="s">
        <v>90</v>
      </c>
      <c r="C33" s="13" t="s">
        <v>91</v>
      </c>
      <c r="D33" s="14" t="n">
        <v>1</v>
      </c>
      <c r="E33" s="14"/>
      <c r="F33" s="14"/>
      <c r="G33" s="14"/>
      <c r="H33" s="14"/>
    </row>
    <row r="34" customFormat="false" ht="15" hidden="false" customHeight="true" outlineLevel="0" collapsed="false">
      <c r="A34" s="12" t="s">
        <v>89</v>
      </c>
      <c r="B34" s="8" t="s">
        <v>92</v>
      </c>
      <c r="C34" s="13" t="s">
        <v>93</v>
      </c>
      <c r="D34" s="14" t="n">
        <v>1</v>
      </c>
      <c r="E34" s="14"/>
      <c r="F34" s="14"/>
      <c r="G34" s="14"/>
      <c r="H34" s="14"/>
    </row>
    <row r="35" customFormat="false" ht="21.75" hidden="false" customHeight="true" outlineLevel="0" collapsed="false">
      <c r="A35" s="12" t="s">
        <v>89</v>
      </c>
      <c r="B35" s="8" t="s">
        <v>94</v>
      </c>
      <c r="C35" s="13" t="s">
        <v>95</v>
      </c>
      <c r="D35" s="14" t="n">
        <v>1</v>
      </c>
      <c r="E35" s="14"/>
      <c r="F35" s="14"/>
      <c r="G35" s="14"/>
      <c r="H35" s="14"/>
    </row>
    <row r="36" customFormat="false" ht="15" hidden="false" customHeight="true" outlineLevel="0" collapsed="false">
      <c r="A36" s="12" t="s">
        <v>89</v>
      </c>
      <c r="B36" s="8" t="s">
        <v>96</v>
      </c>
      <c r="C36" s="13" t="s">
        <v>97</v>
      </c>
      <c r="D36" s="14" t="n">
        <v>1</v>
      </c>
      <c r="E36" s="14"/>
      <c r="F36" s="14"/>
      <c r="G36" s="14"/>
      <c r="H36" s="14"/>
    </row>
    <row r="37" customFormat="false" ht="21.75" hidden="false" customHeight="true" outlineLevel="0" collapsed="false">
      <c r="A37" s="12" t="s">
        <v>89</v>
      </c>
      <c r="B37" s="8" t="s">
        <v>98</v>
      </c>
      <c r="C37" s="13" t="s">
        <v>99</v>
      </c>
      <c r="D37" s="14" t="n">
        <v>1</v>
      </c>
      <c r="E37" s="14"/>
      <c r="F37" s="14"/>
      <c r="G37" s="14"/>
      <c r="H37" s="14"/>
    </row>
    <row r="38" customFormat="false" ht="15" hidden="false" customHeight="true" outlineLevel="0" collapsed="false">
      <c r="A38" s="15" t="s">
        <v>100</v>
      </c>
      <c r="B38" s="15"/>
      <c r="C38" s="15"/>
      <c r="D38" s="16"/>
      <c r="E38" s="17" t="str">
        <f aca="false">IFERROR(SUMPRODUCT((E33:E37&lt;&gt;"")*E33:E37*$D$33:$D$37)/SUMPRODUCT((E33:E37&lt;&gt;"")*$D$33:$D$37),"")</f>
        <v/>
      </c>
      <c r="F38" s="17" t="str">
        <f aca="false">IFERROR(SUMPRODUCT((F33:F37&lt;&gt;"")*F33:F37*$D$33:$D$37)/SUMPRODUCT((F33:F37&lt;&gt;"")*$D$33:$D$37),"")</f>
        <v/>
      </c>
      <c r="G38" s="17" t="str">
        <f aca="false">IFERROR(SUMPRODUCT((G33:G37&lt;&gt;"")*G33:G37*$D$33:$D$37)/SUMPRODUCT((G33:G37&lt;&gt;"")*$D$33:$D$37),"")</f>
        <v/>
      </c>
      <c r="H38" s="17" t="str">
        <f aca="false">IFERROR(SUMPRODUCT((H33:H37&lt;&gt;"")*H33:H37*$D$33:$D$37)/SUMPRODUCT((H33:H37&lt;&gt;"")*$D$33:$D$37),"")</f>
        <v/>
      </c>
    </row>
    <row r="40" customFormat="false" ht="15" hidden="false" customHeight="true" outlineLevel="0" collapsed="false">
      <c r="A40" s="12" t="s">
        <v>101</v>
      </c>
      <c r="B40" s="8" t="s">
        <v>102</v>
      </c>
      <c r="C40" s="13" t="s">
        <v>103</v>
      </c>
      <c r="D40" s="14" t="n">
        <v>1</v>
      </c>
      <c r="E40" s="14"/>
      <c r="F40" s="14"/>
      <c r="G40" s="14"/>
      <c r="H40" s="14"/>
    </row>
    <row r="41" customFormat="false" ht="23.25" hidden="false" customHeight="true" outlineLevel="0" collapsed="false">
      <c r="A41" s="12" t="s">
        <v>101</v>
      </c>
      <c r="B41" s="8" t="s">
        <v>104</v>
      </c>
      <c r="C41" s="13" t="s">
        <v>105</v>
      </c>
      <c r="D41" s="14" t="n">
        <v>1</v>
      </c>
      <c r="E41" s="14"/>
      <c r="F41" s="14"/>
      <c r="G41" s="14"/>
      <c r="H41" s="14"/>
    </row>
    <row r="42" customFormat="false" ht="23.25" hidden="false" customHeight="true" outlineLevel="0" collapsed="false">
      <c r="A42" s="12" t="s">
        <v>101</v>
      </c>
      <c r="B42" s="8" t="s">
        <v>106</v>
      </c>
      <c r="C42" s="13" t="s">
        <v>107</v>
      </c>
      <c r="D42" s="14" t="n">
        <v>1</v>
      </c>
      <c r="E42" s="14"/>
      <c r="F42" s="14"/>
      <c r="G42" s="14"/>
      <c r="H42" s="14"/>
    </row>
    <row r="43" customFormat="false" ht="15" hidden="false" customHeight="true" outlineLevel="0" collapsed="false">
      <c r="A43" s="15" t="s">
        <v>108</v>
      </c>
      <c r="B43" s="15"/>
      <c r="C43" s="15"/>
      <c r="D43" s="16"/>
      <c r="E43" s="17" t="str">
        <f aca="false">IFERROR(SUMPRODUCT((E40:E42&lt;&gt;"")*E40:E42*$D$40:$D$42)/SUMPRODUCT((E40:E42&lt;&gt;"")*$D$40:$D$42),"")</f>
        <v/>
      </c>
      <c r="F43" s="17" t="str">
        <f aca="false">IFERROR(SUMPRODUCT((F40:F42&lt;&gt;"")*F40:F42*$D$40:$D$42)/SUMPRODUCT((F40:F42&lt;&gt;"")*$D$40:$D$42),"")</f>
        <v/>
      </c>
      <c r="G43" s="17" t="str">
        <f aca="false">IFERROR(SUMPRODUCT((G40:G42&lt;&gt;"")*G40:G42*$D$40:$D$42)/SUMPRODUCT((G40:G42&lt;&gt;"")*$D$40:$D$42),"")</f>
        <v/>
      </c>
      <c r="H43" s="17" t="str">
        <f aca="false">IFERROR(SUMPRODUCT((H40:H42&lt;&gt;"")*H40:H42*$D$40:$D$42)/SUMPRODUCT((H40:H42&lt;&gt;"")*$D$40:$D$42),"")</f>
        <v/>
      </c>
    </row>
    <row r="45" customFormat="false" ht="15" hidden="false" customHeight="true" outlineLevel="0" collapsed="false">
      <c r="A45" s="18" t="s">
        <v>109</v>
      </c>
      <c r="B45" s="18"/>
      <c r="C45" s="18"/>
      <c r="D45" s="19"/>
      <c r="E45" s="20" t="str">
        <f aca="false">IFERROR(AVERAGE(E10,E17,E24,E31,E38,E43),"")</f>
        <v/>
      </c>
      <c r="F45" s="20" t="str">
        <f aca="false">IFERROR(AVERAGE(F10,F17,F24,F31,F38,F43),"")</f>
        <v/>
      </c>
      <c r="G45" s="20" t="str">
        <f aca="false">IFERROR(AVERAGE(G10,G17,G24,G31,G38,G43),"")</f>
        <v/>
      </c>
      <c r="H45" s="20" t="str">
        <f aca="false">IFERROR(AVERAGE(H10,H17,H24,H31,H38,H43),"")</f>
        <v/>
      </c>
    </row>
    <row r="46" customFormat="false" ht="15" hidden="false" customHeight="true" outlineLevel="0" collapsed="false">
      <c r="A46" s="21" t="s">
        <v>110</v>
      </c>
      <c r="B46" s="21"/>
      <c r="C46" s="21"/>
      <c r="D46" s="19"/>
      <c r="E46" s="22" t="str">
        <f aca="false">IF(E45="","",RANK(E45,E45:H45))</f>
        <v/>
      </c>
      <c r="F46" s="22" t="str">
        <f aca="false">IF(F45="","",RANK(F45,E45:H45))</f>
        <v/>
      </c>
      <c r="G46" s="22" t="str">
        <f aca="false">IF(G45="","",RANK(G45,E45:H45))</f>
        <v/>
      </c>
      <c r="H46" s="22" t="str">
        <f aca="false">IF(H45="","",RANK(H45,E45:H45))</f>
        <v/>
      </c>
    </row>
    <row r="48" customFormat="false" ht="15" hidden="false" customHeight="true" outlineLevel="0" collapsed="false">
      <c r="A48" s="4" t="s">
        <v>111</v>
      </c>
    </row>
    <row r="49" customFormat="false" ht="15" hidden="false" customHeight="true" outlineLevel="0" collapsed="false">
      <c r="A49" s="23" t="s">
        <v>112</v>
      </c>
      <c r="B49" s="24" t="s">
        <v>113</v>
      </c>
      <c r="C49" s="24"/>
      <c r="D49" s="25" t="s">
        <v>114</v>
      </c>
      <c r="E49" s="26" t="n">
        <v>46290</v>
      </c>
    </row>
    <row r="50" customFormat="false" ht="43.5" hidden="false" customHeight="true" outlineLevel="0" collapsed="false">
      <c r="A50" s="23" t="s">
        <v>115</v>
      </c>
      <c r="B50" s="27" t="s">
        <v>116</v>
      </c>
      <c r="C50" s="27"/>
      <c r="D50" s="27"/>
      <c r="E50" s="27"/>
      <c r="F50" s="27"/>
      <c r="G50" s="27"/>
      <c r="H50" s="27"/>
    </row>
  </sheetData>
  <autoFilter ref="A4:H4"/>
  <mergeCells count="10">
    <mergeCell ref="A10:C10"/>
    <mergeCell ref="A17:C17"/>
    <mergeCell ref="A24:C24"/>
    <mergeCell ref="A31:C31"/>
    <mergeCell ref="A38:C38"/>
    <mergeCell ref="A43:C43"/>
    <mergeCell ref="A45:C45"/>
    <mergeCell ref="A46:C46"/>
    <mergeCell ref="B49:C49"/>
    <mergeCell ref="B50:H50"/>
  </mergeCells>
  <conditionalFormatting sqref="E10:H10">
    <cfRule type="colorScale" priority="2">
      <colorScale>
        <cfvo type="num" val="1"/>
        <cfvo type="num" val="3"/>
        <cfvo type="num" val="5"/>
        <color rgb="FFF4C7C3"/>
        <color rgb="FFFFE8A3"/>
        <color rgb="FFC9DFC4"/>
      </colorScale>
    </cfRule>
  </conditionalFormatting>
  <conditionalFormatting sqref="E17:H17">
    <cfRule type="colorScale" priority="3">
      <colorScale>
        <cfvo type="num" val="1"/>
        <cfvo type="num" val="3"/>
        <cfvo type="num" val="5"/>
        <color rgb="FFF4C7C3"/>
        <color rgb="FFFFE8A3"/>
        <color rgb="FFC9DFC4"/>
      </colorScale>
    </cfRule>
  </conditionalFormatting>
  <conditionalFormatting sqref="E24:H24">
    <cfRule type="colorScale" priority="4">
      <colorScale>
        <cfvo type="num" val="1"/>
        <cfvo type="num" val="3"/>
        <cfvo type="num" val="5"/>
        <color rgb="FFF4C7C3"/>
        <color rgb="FFFFE8A3"/>
        <color rgb="FFC9DFC4"/>
      </colorScale>
    </cfRule>
  </conditionalFormatting>
  <conditionalFormatting sqref="E31:H31">
    <cfRule type="colorScale" priority="5">
      <colorScale>
        <cfvo type="num" val="1"/>
        <cfvo type="num" val="3"/>
        <cfvo type="num" val="5"/>
        <color rgb="FFF4C7C3"/>
        <color rgb="FFFFE8A3"/>
        <color rgb="FFC9DFC4"/>
      </colorScale>
    </cfRule>
  </conditionalFormatting>
  <conditionalFormatting sqref="E38:H38">
    <cfRule type="colorScale" priority="6">
      <colorScale>
        <cfvo type="num" val="1"/>
        <cfvo type="num" val="3"/>
        <cfvo type="num" val="5"/>
        <color rgb="FFF4C7C3"/>
        <color rgb="FFFFE8A3"/>
        <color rgb="FFC9DFC4"/>
      </colorScale>
    </cfRule>
  </conditionalFormatting>
  <conditionalFormatting sqref="E43:H43">
    <cfRule type="colorScale" priority="7">
      <colorScale>
        <cfvo type="num" val="1"/>
        <cfvo type="num" val="3"/>
        <cfvo type="num" val="5"/>
        <color rgb="FFF4C7C3"/>
        <color rgb="FFFFE8A3"/>
        <color rgb="FFC9DFC4"/>
      </colorScale>
    </cfRule>
  </conditionalFormatting>
  <conditionalFormatting sqref="E45:H45">
    <cfRule type="colorScale" priority="8">
      <colorScale>
        <cfvo type="num" val="1"/>
        <cfvo type="num" val="3"/>
        <cfvo type="num" val="5"/>
        <color rgb="FFF4C7C3"/>
        <color rgb="FFFFE8A3"/>
        <color rgb="FFC9DFC4"/>
      </colorScale>
    </cfRule>
  </conditionalFormatting>
  <dataValidations count="1">
    <dataValidation allowBlank="true" errorStyle="stop" operator="between" showDropDown="false" showErrorMessage="false" showInputMessage="false" sqref="B49" type="list">
      <formula1>"Adjumani,Moyo,Nebbi,Candidate 4,Other"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2026-09-22T04:59:20Z</dcterms:created>
  <dc:creator>openpyxl</dc:creator>
  <dc:description/>
  <dc:language>en-US</dc:language>
  <cp:lastModifiedBy/>
  <dcterms:modified xsi:type="dcterms:W3CDTF">2026-09-26T11:29:18Z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