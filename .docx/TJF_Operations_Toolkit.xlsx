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Task Tracker" sheetId="2" state="visible" r:id="rId4"/>
    <sheet name="2. Recruitment Tracker" sheetId="3" state="visible" r:id="rId5"/>
    <sheet name="3. Donor CRM" sheetId="4" state="visible" r:id="rId6"/>
    <sheet name="4. M&amp;E Dashboard" sheetId="5" state="visible" r:id="rId7"/>
  </sheets>
  <definedNames>
    <definedName function="false" hidden="true" localSheetId="1" name="_xlnm._FilterDatabase" vbProcedure="false">'1. Task Tracker'!$A$4:$G$48</definedName>
    <definedName function="false" hidden="true" localSheetId="2" name="_xlnm._FilterDatabase" vbProcedure="false">'2. Recruitment Tracker'!$A$4:$H$17</definedName>
    <definedName function="false" hidden="true" localSheetId="3" name="_xlnm._FilterDatabase" vbProcedure="false">'3. Donor CRM'!$A$4:$J$22</definedName>
    <definedName function="false" hidden="true" localSheetId="4" name="_xlnm._FilterDatabase" vbProcedure="false">'4. M&amp;E Dashboard'!$A$4:$I$29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<sst xmlns="http://schemas.openxmlformats.org/spreadsheetml/2006/main" count="683" uniqueCount="405">
  <si>
    <t xml:space="preserve">TJF Operations Toolkit</t>
  </si>
  <si>
    <t xml:space="preserve">Four linked trackers for running the Foundation day to day  |  v1.0, 26 September 2026</t>
  </si>
  <si>
    <t xml:space="preserve">What's in this workbook</t>
  </si>
  <si>
    <t xml:space="preserve">Sheet</t>
  </si>
  <si>
    <t xml:space="preserve">What it tracks</t>
  </si>
  <si>
    <t xml:space="preserve">Pre-filled with</t>
  </si>
  <si>
    <t xml:space="preserve">1. Task &amp; Decision Tracker</t>
  </si>
  <si>
    <t xml:space="preserve">Every open item flagged across the five program dossiers, the district decision, registration and pillar leads, in one place with owners and status.</t>
  </si>
  <si>
    <t xml:space="preserve">45 real items pulled from the Health, Environment, Livelihoods, Education and Animal Health Initiative dossiers</t>
  </si>
  <si>
    <t xml:space="preserve">2. Recruitment Tracker</t>
  </si>
  <si>
    <t xml:space="preserve">Candidates against the roles TJF is actively seeking: board, advisors, partners, and the four pillar leads.</t>
  </si>
  <si>
    <t xml:space="preserve">The roles from README's "Seeking at This Stage" plus the four pillar-lead and two AHI partner roles</t>
  </si>
  <si>
    <t xml:space="preserve">3. Donor &amp; Partner CRM</t>
  </si>
  <si>
    <t xml:space="preserve">Outreach status for every funder identified so far, with terms, fit notes and next actions.</t>
  </si>
  <si>
    <t xml:space="preserve">18 funders from the grants calendar and the dedicated funder review</t>
  </si>
  <si>
    <t xml:space="preserve">4. M&amp;E Dashboard</t>
  </si>
  <si>
    <t xml:space="preserve">One rolled-up view of the outcome-level indicators from all five program logframes.</t>
  </si>
  <si>
    <t xml:space="preserve">25 outcome indicators across Health, Environment, Livelihoods, Education and the Animal Health Initiative</t>
  </si>
  <si>
    <t xml:space="preserve">How the four sheets connect</t>
  </si>
  <si>
    <t xml:space="preserve">•  A role filled in the Recruitment Tracker (e.g. a pillar lead) should be copied into that item's Owner column in the Task Tracker.</t>
  </si>
  <si>
    <t xml:space="preserve">•  A funder that moves to "Applied" or "Awarded" in the Donor CRM should update the matching item's status in the Task Tracker (e.g. "Cost the budget structure" or "Secure multi-year funding").</t>
  </si>
  <si>
    <t xml:space="preserve">•  The M&amp;E Dashboard only fills in once a program is far enough along to have baseline data — for now, every row should read "Not started" honestly.</t>
  </si>
  <si>
    <t xml:space="preserve">•  This workbook is internal. Keep it out of the public repository, same as the dossiers it draws from.</t>
  </si>
  <si>
    <t xml:space="preserve">Colour legend</t>
  </si>
  <si>
    <t xml:space="preserve">Yellow fill, blue text</t>
  </si>
  <si>
    <t xml:space="preserve">Fill in yourself</t>
  </si>
  <si>
    <t xml:space="preserve">Black text</t>
  </si>
  <si>
    <t xml:space="preserve">Pre-filled from the dossiers — update as things change</t>
  </si>
  <si>
    <t xml:space="preserve">Task &amp; decision tracker</t>
  </si>
  <si>
    <t xml:space="preserve">Every open item flagged across the five dossiers, plus cross-cutting decisions. Update Status and Owner as things move.</t>
  </si>
  <si>
    <t xml:space="preserve">Program / Area</t>
  </si>
  <si>
    <t xml:space="preserve">Item</t>
  </si>
  <si>
    <t xml:space="preserve">Status</t>
  </si>
  <si>
    <t xml:space="preserve">Priority</t>
  </si>
  <si>
    <t xml:space="preserve">Owner</t>
  </si>
  <si>
    <t xml:space="preserve">Notes</t>
  </si>
  <si>
    <t xml:space="preserve">Last updated</t>
  </si>
  <si>
    <t xml:space="preserve">Cross-cutting</t>
  </si>
  <si>
    <t xml:space="preserve">Name the four pillar leads (Health, Education, Livelihoods, Environment)</t>
  </si>
  <si>
    <t xml:space="preserve">Open</t>
  </si>
  <si>
    <t xml:space="preserve">High</t>
  </si>
  <si>
    <t xml:space="preserve">Role profiles drafted; no candidates identified yet.</t>
  </si>
  <si>
    <t xml:space="preserve">Choose shared operating district(s) for the year</t>
  </si>
  <si>
    <t xml:space="preserve">Resolved</t>
  </si>
  <si>
    <t xml:space="preserve">—</t>
  </si>
  <si>
    <t xml:space="preserve">Leadership</t>
  </si>
  <si>
    <t xml:space="preserve">Decided 25 Sep 2026: Adjumani, Moyo, Nebbi and Omoro (all four, not narrowed to one).</t>
  </si>
  <si>
    <t xml:space="preserve">2026-09-25</t>
  </si>
  <si>
    <t xml:space="preserve">Complete legal registration (Company Ltd by Guarantee + NGO status)</t>
  </si>
  <si>
    <t xml:space="preserve">In progress</t>
  </si>
  <si>
    <t xml:space="preserve">In its final stages as of 25 Sep 2026.</t>
  </si>
  <si>
    <t xml:space="preserve">Amend constitution's objects clause to cover animal health / One Health work</t>
  </si>
  <si>
    <t xml:space="preserve">Decide Year-1 pilot goal: Option A (as published) vs Option B (evidence-aligned)</t>
  </si>
  <si>
    <t xml:space="preserve">Claude / leadership</t>
  </si>
  <si>
    <t xml:space="preserve">Option B adopted for all four pillars, 21 Sep 2026.</t>
  </si>
  <si>
    <t xml:space="preserve">2026-09-21</t>
  </si>
  <si>
    <t xml:space="preserve">Recolour AHI paw mark into TJF palette; export real logo files</t>
  </si>
  <si>
    <t xml:space="preserve">Claude</t>
  </si>
  <si>
    <t xml:space="preserve">Delivered 25 Sep 2026: icon, horizontal/stacked/reversed lockups, avatar (SVG+PNG).</t>
  </si>
  <si>
    <t xml:space="preserve">Mini brand guide for the AHI mark</t>
  </si>
  <si>
    <t xml:space="preserve">2-page PDF delivered 25 Sep 2026.</t>
  </si>
  <si>
    <t xml:space="preserve">Health</t>
  </si>
  <si>
    <t xml:space="preserve">District Health Office conversation on scope, incentives and CAHW-equivalent supervision</t>
  </si>
  <si>
    <t xml:space="preserve">Needed before Gate 1 (month 4 of the pilot).</t>
  </si>
  <si>
    <t xml:space="preserve">Confirm timing of the next national net campaign in the chosen district</t>
  </si>
  <si>
    <t xml:space="preserve">Medium</t>
  </si>
  <si>
    <t xml:space="preserve">Determines whether campaign-support activity is possible in year 1.</t>
  </si>
  <si>
    <t xml:space="preserve">Cost the budget structure with local quotations</t>
  </si>
  <si>
    <t xml:space="preserve">Needed before any funding request.</t>
  </si>
  <si>
    <t xml:space="preserve">Choose a technical community-health partner and an academic evaluation partner</t>
  </si>
  <si>
    <t xml:space="preserve">Verify: West Nile / chosen-district malaria transmission level</t>
  </si>
  <si>
    <t xml:space="preserve">Low</t>
  </si>
  <si>
    <t xml:space="preserve">Regional data only so far; district-specific data needed.</t>
  </si>
  <si>
    <t xml:space="preserve">Verify: reported malaria-funding phase-out claim before any public use</t>
  </si>
  <si>
    <t xml:space="preserve">Single news source; do not publish unverified.</t>
  </si>
  <si>
    <t xml:space="preserve">Environment</t>
  </si>
  <si>
    <t xml:space="preserve">Identify the two partner schools and confirm available land</t>
  </si>
  <si>
    <t xml:space="preserve">Sets the tree-planting number.</t>
  </si>
  <si>
    <t xml:space="preserve">Ask the District Water Office for its list of non-functional boreholes</t>
  </si>
  <si>
    <t xml:space="preserve">Check the local planting season / rains timing</t>
  </si>
  <si>
    <t xml:space="preserve">Determines the delivery-phase schedule.</t>
  </si>
  <si>
    <t xml:space="preserve">Cost the budget structure with nursery, mechanic and lab quotations</t>
  </si>
  <si>
    <t xml:space="preserve">Ask GEF Small Grants Programme whether in-kind support counts toward co-financing</t>
  </si>
  <si>
    <t xml:space="preserve">Affects whether GEF SGP is a viable route.</t>
  </si>
  <si>
    <t xml:space="preserve">Verify: forest-loss and tree-cover-loss figures before publishing</t>
  </si>
  <si>
    <t xml:space="preserve">Press-sourced only so far.</t>
  </si>
  <si>
    <t xml:space="preserve">Livelihoods</t>
  </si>
  <si>
    <t xml:space="preserve">Choose a savings-group (VSLA) training partner</t>
  </si>
  <si>
    <t xml:space="preserve">Confirm Uganda Microfinance Regulatory Authority and district requirements for the groups</t>
  </si>
  <si>
    <t xml:space="preserve">Map other savings/enterprise programmes already active in the chosen district</t>
  </si>
  <si>
    <t xml:space="preserve">Avoid duplication.</t>
  </si>
  <si>
    <t xml:space="preserve">Cost the budget structure</t>
  </si>
  <si>
    <t xml:space="preserve">Agree grant-selection criteria and committee membership</t>
  </si>
  <si>
    <t xml:space="preserve">Verify: typical VSLA group size and cycle length with the chosen partner</t>
  </si>
  <si>
    <t xml:space="preserve">Education</t>
  </si>
  <si>
    <t xml:space="preserve">Choose the district and specific partner school</t>
  </si>
  <si>
    <t xml:space="preserve">District pool decided; specific school still open.</t>
  </si>
  <si>
    <t xml:space="preserve">Cost a full-cycle sponsorship per student</t>
  </si>
  <si>
    <t xml:space="preserve">Sets the cohort size — do not enrol beyond what is funded.</t>
  </si>
  <si>
    <t xml:space="preserve">Secure multi-year funding for the sponsorship cohort</t>
  </si>
  <si>
    <t xml:space="preserve">Gate 1 condition.</t>
  </si>
  <si>
    <t xml:space="preserve">Check school power, room and security for the digital hub</t>
  </si>
  <si>
    <t xml:space="preserve">Prevents idle equipment.</t>
  </si>
  <si>
    <t xml:space="preserve">Confirm the school calendar and term dates</t>
  </si>
  <si>
    <t xml:space="preserve">Sets enrolment timing.</t>
  </si>
  <si>
    <t xml:space="preserve">Verify: obligations under the Data Protection and Privacy Act 2019 for children's data</t>
  </si>
  <si>
    <t xml:space="preserve">Animal Health Initiative</t>
  </si>
  <si>
    <t xml:space="preserve">Commission district dog-population estimates (all four districts)</t>
  </si>
  <si>
    <t xml:space="preserve">Needed to fix vaccination targets.</t>
  </si>
  <si>
    <t xml:space="preserve">Cost the full budget with local quotations (currently a high-level placeholder)</t>
  </si>
  <si>
    <t xml:space="preserve">Confirm the Foundation's own contribution to the funding mix (working assumption: 15%)</t>
  </si>
  <si>
    <t xml:space="preserve">Needs written confirmation from leadership.</t>
  </si>
  <si>
    <t xml:space="preserve">Identify and sign a clinical / veterinary partner</t>
  </si>
  <si>
    <t xml:space="preserve">Clinical leadership is by partnership, not direct hire.</t>
  </si>
  <si>
    <t xml:space="preserve">Develop the CAHW income model in full detail (fee levels, subsidies, kit costs)</t>
  </si>
  <si>
    <t xml:space="preserve">Decide district sequencing / start order across the four confirmed districts</t>
  </si>
  <si>
    <t xml:space="preserve">Districts confirmed; order not yet decided.</t>
  </si>
  <si>
    <t xml:space="preserve">Set a firm programme start date</t>
  </si>
  <si>
    <t xml:space="preserve">Depends on funding and registration completion.</t>
  </si>
  <si>
    <t xml:space="preserve">Commission local-language versions of the slogan</t>
  </si>
  <si>
    <t xml:space="preserve">Do not assume Swahili; ask local staff.</t>
  </si>
  <si>
    <t xml:space="preserve">Tailor the grant concept note per funder as calls are identified</t>
  </si>
  <si>
    <t xml:space="preserve">Resolve items marked "to verify" in the fact-check register before external release</t>
  </si>
  <si>
    <t xml:space="preserve">PASERA dates, SARE stage year, NRES 70%/1.5M dog target, others.</t>
  </si>
  <si>
    <t xml:space="preserve">Funding / Partnerships</t>
  </si>
  <si>
    <t xml:space="preserve">Approach GARC, vaccine-industry donors and Mission Rabies as early partners</t>
  </si>
  <si>
    <t xml:space="preserve">Best-fit funders for AHI at this stage.</t>
  </si>
  <si>
    <t xml:space="preserve">Watch for the next WHO African Region / TDR Impact Grants round</t>
  </si>
  <si>
    <t xml:space="preserve">Last round's deadline (15 Sep 2026) has passed.</t>
  </si>
  <si>
    <t xml:space="preserve">Seek a warm referral into Segal Family Foundation</t>
  </si>
  <si>
    <t xml:space="preserve">Does not accept unsolicited proposals.</t>
  </si>
  <si>
    <t xml:space="preserve">Summary</t>
  </si>
  <si>
    <t xml:space="preserve">Count</t>
  </si>
  <si>
    <t xml:space="preserve">Blocked</t>
  </si>
  <si>
    <t xml:space="preserve">Volunteer &amp; board recruitment tracker</t>
  </si>
  <si>
    <t xml:space="preserve">Roles TJF is actively seeking, from the README's "Seeking at This Stage" plus the four pillar leads and two AHI partner roles.</t>
  </si>
  <si>
    <t xml:space="preserve">Category</t>
  </si>
  <si>
    <t xml:space="preserve">Role</t>
  </si>
  <si>
    <t xml:space="preserve">What they'd do</t>
  </si>
  <si>
    <t xml:space="preserve">Candidate(s)</t>
  </si>
  <si>
    <t xml:space="preserve">Contact</t>
  </si>
  <si>
    <t xml:space="preserve">Next step</t>
  </si>
  <si>
    <t xml:space="preserve">Date added</t>
  </si>
  <si>
    <t xml:space="preserve">Governance</t>
  </si>
  <si>
    <t xml:space="preserve">Founding Board Member</t>
  </si>
  <si>
    <t xml:space="preserve">Sit on TJF's founding board; governance, oversight, fundraising networks.</t>
  </si>
  <si>
    <t xml:space="preserve">Identify and approach candidates</t>
  </si>
  <si>
    <t xml:space="preserve">Incorporation &amp; Legal Support</t>
  </si>
  <si>
    <t xml:space="preserve">Guide the Company Ltd by Guarantee / NGO registration through to completion.</t>
  </si>
  <si>
    <t xml:space="preserve">Registration in final stages — confirm who is currently advising</t>
  </si>
  <si>
    <t xml:space="preserve">Strategic &amp; Institutional Partner</t>
  </si>
  <si>
    <t xml:space="preserve">Organisational partnership at the institutional level (not a funder relationship specifically).</t>
  </si>
  <si>
    <t xml:space="preserve">Technical &amp; Program Advisor</t>
  </si>
  <si>
    <t xml:space="preserve">Advisory input across the four pillars; not a full board seat.</t>
  </si>
  <si>
    <t xml:space="preserve">Early Corporate &amp; Philanthropic Partner</t>
  </si>
  <si>
    <t xml:space="preserve">First corporate or philanthropic relationships ahead of a full fundraising push.</t>
  </si>
  <si>
    <t xml:space="preserve">Pillar Lead</t>
  </si>
  <si>
    <t xml:space="preserve">Health &amp; Wellbeing Lead</t>
  </si>
  <si>
    <t xml:space="preserve">Owns the Community Health Champions pilot: district relations, budget sign-off, accountable for targets.</t>
  </si>
  <si>
    <t xml:space="preserve">Role profile drafted — post / circulate</t>
  </si>
  <si>
    <t xml:space="preserve">Education &amp; Youth Development Lead</t>
  </si>
  <si>
    <t xml:space="preserve">Owns the Jopetnah Scholars + Future-Ready Lab pilot.</t>
  </si>
  <si>
    <t xml:space="preserve">Poverty Alleviation &amp; Livelihoods Lead</t>
  </si>
  <si>
    <t xml:space="preserve">Owns the Cooperative Savings Circles pilot.</t>
  </si>
  <si>
    <t xml:space="preserve">Environment &amp; Community Development Lead</t>
  </si>
  <si>
    <t xml:space="preserve">Owns the Green Neighborhoods + Water &amp; Sanitation pilot.</t>
  </si>
  <si>
    <t xml:space="preserve">AHI Partnership</t>
  </si>
  <si>
    <t xml:space="preserve">Clinical / Veterinary Partner</t>
  </si>
  <si>
    <t xml:space="preserve">Clinical leadership for the Animal Health Initiative — protocols, CAHW training, licensed oversight. By partnership, not direct hire.</t>
  </si>
  <si>
    <t xml:space="preserve">High priority — hardest gap to fill per the blueprint</t>
  </si>
  <si>
    <t xml:space="preserve">Academic Partner (veterinary or public health faculty)</t>
  </si>
  <si>
    <t xml:space="preserve">Baseline study design and independent evaluation.</t>
  </si>
  <si>
    <t xml:space="preserve">Program Partnership</t>
  </si>
  <si>
    <t xml:space="preserve">Savings-Group (VSLA) Training Partner</t>
  </si>
  <si>
    <t xml:space="preserve">Delivers the Livelihoods pillar's group formation and training methodology.</t>
  </si>
  <si>
    <t xml:space="preserve">Community Health Technical Partner</t>
  </si>
  <si>
    <t xml:space="preserve">Training design and supervision for Community Health Champions.</t>
  </si>
  <si>
    <t xml:space="preserve">Sourcing</t>
  </si>
  <si>
    <t xml:space="preserve">Interviewing</t>
  </si>
  <si>
    <t xml:space="preserve">Offered</t>
  </si>
  <si>
    <t xml:space="preserve">Filled</t>
  </si>
  <si>
    <t xml:space="preserve">On hold</t>
  </si>
  <si>
    <t xml:space="preserve">Donor &amp; partner CRM</t>
  </si>
  <si>
    <t xml:space="preserve">Every funder identified so far (grants calendar + the dedicated funder review), with terms and fit notes as last checked.</t>
  </si>
  <si>
    <t xml:space="preserve">Funder</t>
  </si>
  <si>
    <t xml:space="preserve">Programme fit</t>
  </si>
  <si>
    <t xml:space="preserve">Type</t>
  </si>
  <si>
    <t xml:space="preserve">Amount range</t>
  </si>
  <si>
    <t xml:space="preserve">Deadline / cadence</t>
  </si>
  <si>
    <t xml:space="preserve">Outreach status</t>
  </si>
  <si>
    <t xml:space="preserve">Fit note</t>
  </si>
  <si>
    <t xml:space="preserve">Contact person</t>
  </si>
  <si>
    <t xml:space="preserve">Last contact</t>
  </si>
  <si>
    <t xml:space="preserve">Next action</t>
  </si>
  <si>
    <t xml:space="preserve">Global Alliance for Rabies Control (GARC)</t>
  </si>
  <si>
    <t xml:space="preserve">Network + small grants</t>
  </si>
  <si>
    <t xml:space="preserve">Varies (small grants)</t>
  </si>
  <si>
    <t xml:space="preserve">Rolling; World Rabies Day is a natural entry point</t>
  </si>
  <si>
    <t xml:space="preserve">Not started</t>
  </si>
  <si>
    <t xml:space="preserve">Best first move — built for local NGOs; free vaccination-tracking tools; Rabies Center of Excellence status builds credibility.</t>
  </si>
  <si>
    <t xml:space="preserve">Introduce TJF and the initiative</t>
  </si>
  <si>
    <t xml:space="preserve">Mission Rabies / Worldwide Veterinary Service</t>
  </si>
  <si>
    <t xml:space="preserve">Technical / clinical partner</t>
  </si>
  <si>
    <t xml:space="preserve">In-kind (clinical support)</t>
  </si>
  <si>
    <t xml:space="preserve">Rolling</t>
  </si>
  <si>
    <t xml:space="preserve">Already active in Uganda — natural candidate for the still-open clinical/veterinary partner role.</t>
  </si>
  <si>
    <t xml:space="preserve">Approach as a partner, not a funder</t>
  </si>
  <si>
    <t xml:space="preserve">MSD Animal Health (Afya programme)</t>
  </si>
  <si>
    <t xml:space="preserve">In-kind vaccine donation</t>
  </si>
  <si>
    <t xml:space="preserve">Doses, not cash</t>
  </si>
  <si>
    <t xml:space="preserve">Rolling, via partner NGOs</t>
  </si>
  <si>
    <t xml:space="preserve">Would cut the largest AHI cost line. Needs registration + a named clinical partner first.</t>
  </si>
  <si>
    <t xml:space="preserve">Hold until registration completes</t>
  </si>
  <si>
    <t xml:space="preserve">Boehringer Ingelheim (STOP Rabies, via GARC)</t>
  </si>
  <si>
    <t xml:space="preserve">Rolling, via GARC</t>
  </si>
  <si>
    <t xml:space="preserve">Same as above — approach through GARC once that relationship exists.</t>
  </si>
  <si>
    <t xml:space="preserve">Hold until GARC contact made</t>
  </si>
  <si>
    <t xml:space="preserve">Rabies Free Africa</t>
  </si>
  <si>
    <t xml:space="preserve">Programme grant</t>
  </si>
  <si>
    <t xml:space="preserve">Varies</t>
  </si>
  <si>
    <t xml:space="preserve">Check current call</t>
  </si>
  <si>
    <t xml:space="preserve">Funds mass dog vaccination specifically in East Africa.</t>
  </si>
  <si>
    <t xml:space="preserve">Research current call status</t>
  </si>
  <si>
    <t xml:space="preserve">WHO African Region / TDR Impact Grants</t>
  </si>
  <si>
    <t xml:space="preserve">Small research grant</t>
  </si>
  <si>
    <t xml:space="preserve">Up to $15,000 (12 months)</t>
  </si>
  <si>
    <t xml:space="preserve">Last round closed 15 Sep 2026</t>
  </si>
  <si>
    <t xml:space="preserve">NGOs eligible; One Health and zoonotic disease are priority areas. Watch for the next round.</t>
  </si>
  <si>
    <t xml:space="preserve">Watch for next call</t>
  </si>
  <si>
    <t xml:space="preserve">Pandemic Fund (via FAO/WHO/UNICEF implementing entities)</t>
  </si>
  <si>
    <t xml:space="preserve">Subpartnership</t>
  </si>
  <si>
    <t xml:space="preserve">Through implementing entities</t>
  </si>
  <si>
    <t xml:space="preserve">Government-facing — approach as a community-delivery subpartner, not a direct applicant.</t>
  </si>
  <si>
    <t xml:space="preserve">Identify the Uganda implementing entity</t>
  </si>
  <si>
    <t xml:space="preserve">US Government global health opportunities (State Dept / CDC Uganda)</t>
  </si>
  <si>
    <t xml:space="preserve">Animal Health Initiative / Health</t>
  </si>
  <si>
    <t xml:space="preserve">Institutional grant / subaward</t>
  </si>
  <si>
    <t xml:space="preserve">Varies; State calls can start at $500,000</t>
  </si>
  <si>
    <t xml:space="preserve">Check grants.gov / SAM.gov continuously</t>
  </si>
  <si>
    <t xml:space="preserve">USAID was dissolved in 2025; routes now run through the State Department. Best pursued as a subaward via an established prime.</t>
  </si>
  <si>
    <t xml:space="preserve">Monitor grants.gov</t>
  </si>
  <si>
    <t xml:space="preserve">Gates Foundation</t>
  </si>
  <si>
    <t xml:space="preserve">Major grant</t>
  </si>
  <si>
    <t xml:space="preserve">Large</t>
  </si>
  <si>
    <t xml:space="preserve">By invitation only</t>
  </si>
  <si>
    <t xml:space="preserve">Does not accept cold proposals. Revisit after pilot results, likely via a consortium.</t>
  </si>
  <si>
    <t xml:space="preserve">Revisit post-pilot</t>
  </si>
  <si>
    <t xml:space="preserve">Wellcome</t>
  </si>
  <si>
    <t xml:space="preserve">Animal Health Initiative (research angle)</t>
  </si>
  <si>
    <t xml:space="preserve">Research grant</t>
  </si>
  <si>
    <t xml:space="preserve">£1–8 million (clinical trial awards)</t>
  </si>
  <si>
    <t xml:space="preserve">Check current calls</t>
  </si>
  <si>
    <t xml:space="preserve">Funds research, not delivery. TJF would be a community-delivery partner under an academic-led bid, not the lead applicant.</t>
  </si>
  <si>
    <t xml:space="preserve">Identify a research-lead partner (e.g. Makerere)</t>
  </si>
  <si>
    <t xml:space="preserve">Segal Family Foundation</t>
  </si>
  <si>
    <t xml:space="preserve">Livelihoods / cross-cutting</t>
  </si>
  <si>
    <t xml:space="preserve">Grant</t>
  </si>
  <si>
    <t xml:space="preserve">First-time grants typically $10,000–40,000</t>
  </si>
  <si>
    <t xml:space="preserve">Rolling, referral-based</t>
  </si>
  <si>
    <t xml:space="preserve">Does not accept unsolicited proposals — needs a warm referral.</t>
  </si>
  <si>
    <t xml:space="preserve">Seek a referral</t>
  </si>
  <si>
    <t xml:space="preserve">MTN Uganda Foundation — Changemakers</t>
  </si>
  <si>
    <t xml:space="preserve">Education / cross-cutting</t>
  </si>
  <si>
    <t xml:space="preserve">Share of ~$130,000 across ~25 grassroots projects</t>
  </si>
  <si>
    <t xml:space="preserve">Phased calls</t>
  </si>
  <si>
    <t xml:space="preserve">Realistic entry point for a first small grant; requires co-branding.</t>
  </si>
  <si>
    <t xml:space="preserve">Watch for next call window</t>
  </si>
  <si>
    <t xml:space="preserve">Stanbic Bank Uganda — CSR</t>
  </si>
  <si>
    <t xml:space="preserve">Livelihoods / Education</t>
  </si>
  <si>
    <t xml:space="preserve">Grant / sponsorship</t>
  </si>
  <si>
    <t xml:space="preserve">Annual announcements</t>
  </si>
  <si>
    <t xml:space="preserve">Fits savings groups and financial literacy specifically.</t>
  </si>
  <si>
    <t xml:space="preserve">Watch for annual announcement</t>
  </si>
  <si>
    <t xml:space="preserve">Airtel Foundation — CSR</t>
  </si>
  <si>
    <t xml:space="preserve">Grant / in-kind</t>
  </si>
  <si>
    <t xml:space="preserve">Rolling proposals</t>
  </si>
  <si>
    <t xml:space="preserve">Fits the digital literacy hub partnership.</t>
  </si>
  <si>
    <t xml:space="preserve">Draft a hub-specific proposal</t>
  </si>
  <si>
    <t xml:space="preserve">Mastercard Foundation Scholars (Makerere)</t>
  </si>
  <si>
    <t xml:space="preserve">Scholarship placement (not a grant to TJF)</t>
  </si>
  <si>
    <t xml:space="preserve">N/A</t>
  </si>
  <si>
    <t xml:space="preserve">2026/27 cycle closed 5 Jun 2026</t>
  </si>
  <si>
    <t xml:space="preserve">Progression route for TJF-sponsored students, not a funding source for TJF itself.</t>
  </si>
  <si>
    <t xml:space="preserve">Note as a referral pathway</t>
  </si>
  <si>
    <t xml:space="preserve">GEF Small Grants Programme (UNDP Uganda)</t>
  </si>
  <si>
    <t xml:space="preserve">Environment / Livelihoods</t>
  </si>
  <si>
    <t xml:space="preserve">Up to $40,000–50,000</t>
  </si>
  <si>
    <t xml:space="preserve">Rolling calls; last closed 2 Jul 2026</t>
  </si>
  <si>
    <t xml:space="preserve">Needs a registration certificate and ~50% co-financing. Strong fit once registered.</t>
  </si>
  <si>
    <t xml:space="preserve">Ask whether in-kind counts as co-financing</t>
  </si>
  <si>
    <t xml:space="preserve">CEMA Climate Justice Small Grants</t>
  </si>
  <si>
    <t xml:space="preserve">Small grant</t>
  </si>
  <si>
    <t xml:space="preserve">$1,000–5,000</t>
  </si>
  <si>
    <t xml:space="preserve">Deadline 31 Dec 2026</t>
  </si>
  <si>
    <t xml:space="preserve">Small enough to start the school tree-planting component before full registration completes. Confirm eligibility directly.</t>
  </si>
  <si>
    <t xml:space="preserve">Confirm current eligibility</t>
  </si>
  <si>
    <t xml:space="preserve">UNEP Mountains ADAPT Small Grants</t>
  </si>
  <si>
    <t xml:space="preserve">Up to $30,000</t>
  </si>
  <si>
    <t xml:space="preserve">Deadline was 15 Sep 2026 (passed)</t>
  </si>
  <si>
    <t xml:space="preserve">Only fits if the chosen district is a mountain landscape. Watch for the next round.</t>
  </si>
  <si>
    <t xml:space="preserve">Confirm district fit; watch for next round</t>
  </si>
  <si>
    <t xml:space="preserve">Researching</t>
  </si>
  <si>
    <t xml:space="preserve">Contacted</t>
  </si>
  <si>
    <t xml:space="preserve">In discussion</t>
  </si>
  <si>
    <t xml:space="preserve">Applied</t>
  </si>
  <si>
    <t xml:space="preserve">Awarded</t>
  </si>
  <si>
    <t xml:space="preserve">Declined</t>
  </si>
  <si>
    <t xml:space="preserve">Program M&amp;E dashboard</t>
  </si>
  <si>
    <t xml:space="preserve">The lead outcome indicator for each of the five programs' logframes, rolled up into one view. Full indicator sets live in each dossier's own Results Framework / Indicator Tracker.</t>
  </si>
  <si>
    <t xml:space="preserve">Program</t>
  </si>
  <si>
    <t xml:space="preserve">Outcome</t>
  </si>
  <si>
    <t xml:space="preserve">Lead indicator</t>
  </si>
  <si>
    <t xml:space="preserve">Baseline</t>
  </si>
  <si>
    <t xml:space="preserve">Target</t>
  </si>
  <si>
    <t xml:space="preserve">Actual</t>
  </si>
  <si>
    <t xml:space="preserve">As of</t>
  </si>
  <si>
    <t xml:space="preserve">RAG status</t>
  </si>
  <si>
    <t xml:space="preserve">O1 — Vaccination coverage</t>
  </si>
  <si>
    <t xml:space="preserve">% of owned dogs vaccinated against rabies</t>
  </si>
  <si>
    <t xml:space="preserve">Baseline pending</t>
  </si>
  <si>
    <t xml:space="preserve">≥65% per district at M24 (aiming 70%)</t>
  </si>
  <si>
    <t xml:space="preserve">Pilot not yet funded or started.</t>
  </si>
  <si>
    <t xml:space="preserve">O2 — Bite care access</t>
  </si>
  <si>
    <t xml:space="preserve">% of reported bite cases completing full PEP course</t>
  </si>
  <si>
    <t xml:space="preserve">≥80% at M24</t>
  </si>
  <si>
    <t xml:space="preserve">O3 — CAHW network</t>
  </si>
  <si>
    <t xml:space="preserve">CAHWs trained, equipped and still active after 12 months</t>
  </si>
  <si>
    <t xml:space="preserve">0</t>
  </si>
  <si>
    <t xml:space="preserve">30–45 at M24</t>
  </si>
  <si>
    <t xml:space="preserve">O4 — Community knowledge</t>
  </si>
  <si>
    <t xml:space="preserve">% of school children with correct bite first-aid knowledge</t>
  </si>
  <si>
    <t xml:space="preserve">≥70% at M24</t>
  </si>
  <si>
    <t xml:space="preserve">O5 — Evidence uptake</t>
  </si>
  <si>
    <t xml:space="preserve">Districts integrating the CAHW / One Health model into their plans</t>
  </si>
  <si>
    <t xml:space="preserve">≥1 district by M36 (proposed)</t>
  </si>
  <si>
    <t xml:space="preserve">Health (Community Health Champions)</t>
  </si>
  <si>
    <t xml:space="preserve">O1 — Net use</t>
  </si>
  <si>
    <t xml:space="preserve">% of pregnant women / children under 5 who slept under a net</t>
  </si>
  <si>
    <t xml:space="preserve">Rise toward national 85% goal</t>
  </si>
  <si>
    <t xml:space="preserve">District and school not yet finalised.</t>
  </si>
  <si>
    <t xml:space="preserve">O2 — Care-seeking</t>
  </si>
  <si>
    <t xml:space="preserve">% of children under 5 with fever tested/treated within 24h</t>
  </si>
  <si>
    <t xml:space="preserve">Increase against baseline</t>
  </si>
  <si>
    <t xml:space="preserve">O3 — Vaccine completion</t>
  </si>
  <si>
    <t xml:space="preserve">% of children with dose 1 who receive dose 4 (Champion-supported area)</t>
  </si>
  <si>
    <t xml:space="preserve">Facility registers pending</t>
  </si>
  <si>
    <t xml:space="preserve">O4 — Antenatal attendance</t>
  </si>
  <si>
    <t xml:space="preserve">% of pregnant women attending 4+ antenatal visits</t>
  </si>
  <si>
    <t xml:space="preserve">O5 — Champion retention</t>
  </si>
  <si>
    <t xml:space="preserve">% of trained Champions still active after 12 months</t>
  </si>
  <si>
    <t xml:space="preserve">Proposed ≥75%; confirm with district</t>
  </si>
  <si>
    <t xml:space="preserve">Environment (Green Neighborhoods + WASH)</t>
  </si>
  <si>
    <t xml:space="preserve">O1 — Tree survival</t>
  </si>
  <si>
    <t xml:space="preserve">% of tagged trees alive at 12 months</t>
  </si>
  <si>
    <t xml:space="preserve">Proposed ≥80%</t>
  </si>
  <si>
    <t xml:space="preserve">Partner schools and borehole not yet identified.</t>
  </si>
  <si>
    <t xml:space="preserve">O2 — School ownership</t>
  </si>
  <si>
    <t xml:space="preserve">Environment clubs meeting at least monthly at 12 months</t>
  </si>
  <si>
    <t xml:space="preserve">2 of 2 schools</t>
  </si>
  <si>
    <t xml:space="preserve">O3 — Water reliability</t>
  </si>
  <si>
    <t xml:space="preserve">Borehole functional, &lt;30 days downtime/year</t>
  </si>
  <si>
    <t xml:space="preserve">Non-functional</t>
  </si>
  <si>
    <t xml:space="preserve">Met at 6 and 12 months</t>
  </si>
  <si>
    <t xml:space="preserve">O4 — Community management</t>
  </si>
  <si>
    <t xml:space="preserve">Water user committee meets quarterly, holds a repair fund</t>
  </si>
  <si>
    <t xml:space="preserve">None</t>
  </si>
  <si>
    <t xml:space="preserve">Met at 12 months</t>
  </si>
  <si>
    <t xml:space="preserve">O5 — Hygiene practice</t>
  </si>
  <si>
    <t xml:space="preserve">% of pupils/households with a handwashing point (water + soap)</t>
  </si>
  <si>
    <t xml:space="preserve">Livelihoods (Cooperative Savings Circles)</t>
  </si>
  <si>
    <t xml:space="preserve">O1 — Groups functioning</t>
  </si>
  <si>
    <t xml:space="preserve">Groups meeting weekly with up-to-date records at 6 and 12 months</t>
  </si>
  <si>
    <t xml:space="preserve">Proposed 4 of 5 groups</t>
  </si>
  <si>
    <t xml:space="preserve">Training partner not yet chosen.</t>
  </si>
  <si>
    <t xml:space="preserve">O2 — Saving &amp; borrowing</t>
  </si>
  <si>
    <t xml:space="preserve">% of members with savings; median savings at share-out</t>
  </si>
  <si>
    <t xml:space="preserve">Set after 3 months of data</t>
  </si>
  <si>
    <t xml:space="preserve">O3 — Reaches the poorer</t>
  </si>
  <si>
    <t xml:space="preserve">% of members from poorer households (scorecard)</t>
  </si>
  <si>
    <t xml:space="preserve">Proposed ≥50%</t>
  </si>
  <si>
    <t xml:space="preserve">O4 — Grant business survival</t>
  </si>
  <si>
    <t xml:space="preserve">% of grantee businesses operating 6 months after the grant</t>
  </si>
  <si>
    <t xml:space="preserve">O5 — Women's voice</t>
  </si>
  <si>
    <t xml:space="preserve">% of women reporting a say in how savings/loans are used</t>
  </si>
  <si>
    <t xml:space="preserve">Education (Jopetnah Scholars + Future-Ready Lab)</t>
  </si>
  <si>
    <t xml:space="preserve">O1 — Retention</t>
  </si>
  <si>
    <t xml:space="preserve">% of sponsored students still enrolled at end of school year</t>
  </si>
  <si>
    <t xml:space="preserve">All enrolled at start</t>
  </si>
  <si>
    <t xml:space="preserve">Proposed ≥90%</t>
  </si>
  <si>
    <t xml:space="preserve">Cohort size depends on securing full-cycle funding.</t>
  </si>
  <si>
    <t xml:space="preserve">O2 — Mentoring reach</t>
  </si>
  <si>
    <t xml:space="preserve">% of sponsored students attending monthly mentoring</t>
  </si>
  <si>
    <t xml:space="preserve">O3 — Digital skills</t>
  </si>
  <si>
    <t xml:space="preserve">% of hub students passing a practical ICT test</t>
  </si>
  <si>
    <t xml:space="preserve">Test at start</t>
  </si>
  <si>
    <t xml:space="preserve">Proposed ≥70%</t>
  </si>
  <si>
    <t xml:space="preserve">O4 — Hub sustainability</t>
  </si>
  <si>
    <t xml:space="preserve">Hub open for scheduled sessions on planned days</t>
  </si>
  <si>
    <t xml:space="preserve">O5 — Girls' participation</t>
  </si>
  <si>
    <t xml:space="preserve">Girls as a share of hub and sponsored-student cohorts</t>
  </si>
  <si>
    <t xml:space="preserve">At least half</t>
  </si>
  <si>
    <t xml:space="preserve">Rollup by program</t>
  </si>
  <si>
    <t xml:space="preserve">On track / Achieved</t>
  </si>
  <si>
    <t xml:space="preserve">At risk</t>
  </si>
  <si>
    <t xml:space="preserve">Off track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</si>
</sst>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F4A31"/>
      <name val="Arial"/>
      <family val="0"/>
      <charset val="1"/>
    </font>
    <font>
      <i val="true"/>
      <sz val="9"/>
      <color rgb="FF6B5B4E"/>
      <name val="Arial"/>
      <family val="0"/>
      <charset val="1"/>
    </font>
    <font>
      <b val="true"/>
      <sz val="11"/>
      <color rgb="FF32211A"/>
      <name val="Arial"/>
      <family val="0"/>
      <charset val="1"/>
    </font>
    <font>
      <b val="true"/>
      <sz val="10"/>
      <color rgb="FFF3E9D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2211A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DBE"/>
      </left>
      <right style="thin">
        <color rgb="FFD9CDBE"/>
      </right>
      <top style="thin">
        <color rgb="FFD9CDBE"/>
      </top>
      <bottom style="thin">
        <color rgb="FFD9CD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3221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3E9DC"/>
          <bgColor rgb="FF000000"/>
        </patternFill>
      </fill>
    </dxf>
    <dxf>
      <fill>
        <patternFill patternType="solid">
          <fgColor rgb="FFC9DFC4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FE8A3"/>
          <bgColor rgb="FF000000"/>
        </patternFill>
      </fill>
    </dxf>
    <dxf>
      <fill>
        <patternFill patternType="solid">
          <fgColor rgb="FFB23A2E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FE8A3"/>
        </patternFill>
      </fill>
    </dxf>
    <dxf>
      <fill>
        <patternFill>
          <bgColor rgb="FFC9DFC4"/>
        </patternFill>
      </fill>
    </dxf>
    <dxf>
      <font>
        <b val="1"/>
        <color rgb="FFB23A2E"/>
      </font>
    </dxf>
    <dxf>
      <fill>
        <patternFill patternType="solid">
          <fgColor rgb="FFE3E3E3"/>
          <bgColor rgb="FF000000"/>
        </patternFill>
      </fill>
    </dxf>
    <dxf>
      <fill>
        <patternFill>
          <bgColor rgb="FFE3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DBE"/>
      <rgbColor rgb="FF808080"/>
      <rgbColor rgb="FF9999FF"/>
      <rgbColor rgb="FF8F4A31"/>
      <rgbColor rgb="FFF3E9D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DFC4"/>
      <rgbColor rgb="FFFFE8A3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B5B4E"/>
      <rgbColor rgb="FF969696"/>
      <rgbColor rgb="FF003366"/>
      <rgbColor rgb="FF339966"/>
      <rgbColor rgb="FF003300"/>
      <rgbColor rgb="FF333300"/>
      <rgbColor rgb="FFB23A2E"/>
      <rgbColor rgb="FF993366"/>
      <rgbColor rgb="FF333399"/>
      <rgbColor rgb="FF32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45.75" hidden="false" customHeight="true" outlineLevel="0" collapsed="false">
      <c r="A6" s="5" t="s">
        <v>6</v>
      </c>
      <c r="B6" s="6" t="s">
        <v>7</v>
      </c>
      <c r="C6" s="7" t="s">
        <v>8</v>
      </c>
    </row>
    <row r="7" customFormat="false" ht="45.75" hidden="false" customHeight="true" outlineLevel="0" collapsed="false">
      <c r="A7" s="5" t="s">
        <v>9</v>
      </c>
      <c r="B7" s="6" t="s">
        <v>10</v>
      </c>
      <c r="C7" s="7" t="s">
        <v>11</v>
      </c>
    </row>
    <row r="8" customFormat="false" ht="45.75" hidden="false" customHeight="true" outlineLevel="0" collapsed="false">
      <c r="A8" s="5" t="s">
        <v>12</v>
      </c>
      <c r="B8" s="6" t="s">
        <v>13</v>
      </c>
      <c r="C8" s="7" t="s">
        <v>14</v>
      </c>
    </row>
    <row r="9" customFormat="false" ht="45.75" hidden="false" customHeight="true" outlineLevel="0" collapsed="false">
      <c r="A9" s="5" t="s">
        <v>15</v>
      </c>
      <c r="B9" s="6" t="s">
        <v>16</v>
      </c>
      <c r="C9" s="7" t="s">
        <v>17</v>
      </c>
    </row>
    <row r="11" customFormat="false" ht="15" hidden="false" customHeight="false" outlineLevel="0" collapsed="false">
      <c r="A11" s="3" t="s">
        <v>18</v>
      </c>
    </row>
    <row r="12" customFormat="false" ht="30" hidden="false" customHeight="true" outlineLevel="0" collapsed="false">
      <c r="A12" s="8" t="s">
        <v>19</v>
      </c>
      <c r="B12" s="8"/>
      <c r="C12" s="8"/>
    </row>
    <row r="13" customFormat="false" ht="30" hidden="false" customHeight="true" outlineLevel="0" collapsed="false">
      <c r="A13" s="8" t="s">
        <v>20</v>
      </c>
      <c r="B13" s="8"/>
      <c r="C13" s="8"/>
    </row>
    <row r="14" customFormat="false" ht="30" hidden="false" customHeight="true" outlineLevel="0" collapsed="false">
      <c r="A14" s="8" t="s">
        <v>21</v>
      </c>
      <c r="B14" s="8"/>
      <c r="C14" s="8"/>
    </row>
    <row r="15" customFormat="false" ht="30" hidden="false" customHeight="true" outlineLevel="0" collapsed="false">
      <c r="A15" s="8" t="s">
        <v>22</v>
      </c>
      <c r="B15" s="8"/>
      <c r="C15" s="8"/>
    </row>
    <row r="17" customFormat="false" ht="15" hidden="false" customHeight="false" outlineLevel="0" collapsed="false">
      <c r="A17" s="3" t="s">
        <v>23</v>
      </c>
    </row>
    <row r="18" customFormat="false" ht="15" hidden="false" customHeight="false" outlineLevel="0" collapsed="false">
      <c r="A18" s="9" t="s">
        <v>24</v>
      </c>
      <c r="B18" s="10" t="s">
        <v>25</v>
      </c>
    </row>
    <row r="19" customFormat="false" ht="15" hidden="false" customHeight="false" outlineLevel="0" collapsed="false">
      <c r="A19" s="10" t="s">
        <v>26</v>
      </c>
      <c r="B19" s="10" t="s">
        <v>27</v>
      </c>
    </row>
  </sheetData>
  <mergeCells count="4">
    <mergeCell ref="A12:C12"/>
    <mergeCell ref="A13:C13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</row>
    <row r="5" customFormat="false" ht="23.85" hidden="false" customHeight="false" outlineLevel="0" collapsed="false">
      <c r="A5" s="11" t="s">
        <v>37</v>
      </c>
      <c r="B5" s="6" t="s">
        <v>38</v>
      </c>
      <c r="C5" s="11" t="s">
        <v>39</v>
      </c>
      <c r="D5" s="11" t="s">
        <v>40</v>
      </c>
      <c r="E5" s="11"/>
      <c r="F5" s="6" t="s">
        <v>41</v>
      </c>
      <c r="G5" s="11"/>
    </row>
    <row r="6" customFormat="false" ht="23.85" hidden="false" customHeight="false" outlineLevel="0" collapsed="false">
      <c r="A6" s="11" t="s">
        <v>37</v>
      </c>
      <c r="B6" s="6" t="s">
        <v>42</v>
      </c>
      <c r="C6" s="11" t="s">
        <v>43</v>
      </c>
      <c r="D6" s="11" t="s">
        <v>44</v>
      </c>
      <c r="E6" s="11" t="s">
        <v>45</v>
      </c>
      <c r="F6" s="6" t="s">
        <v>46</v>
      </c>
      <c r="G6" s="11" t="s">
        <v>47</v>
      </c>
    </row>
    <row r="7" customFormat="false" ht="23.85" hidden="false" customHeight="false" outlineLevel="0" collapsed="false">
      <c r="A7" s="11" t="s">
        <v>37</v>
      </c>
      <c r="B7" s="6" t="s">
        <v>48</v>
      </c>
      <c r="C7" s="11" t="s">
        <v>49</v>
      </c>
      <c r="D7" s="11" t="s">
        <v>40</v>
      </c>
      <c r="E7" s="11"/>
      <c r="F7" s="6" t="s">
        <v>50</v>
      </c>
      <c r="G7" s="11" t="s">
        <v>47</v>
      </c>
    </row>
    <row r="8" customFormat="false" ht="23.85" hidden="false" customHeight="false" outlineLevel="0" collapsed="false">
      <c r="A8" s="11" t="s">
        <v>37</v>
      </c>
      <c r="B8" s="6" t="s">
        <v>51</v>
      </c>
      <c r="C8" s="11" t="s">
        <v>49</v>
      </c>
      <c r="D8" s="11" t="s">
        <v>40</v>
      </c>
      <c r="E8" s="11"/>
      <c r="F8" s="6" t="s">
        <v>50</v>
      </c>
      <c r="G8" s="11" t="s">
        <v>47</v>
      </c>
    </row>
    <row r="9" customFormat="false" ht="23.85" hidden="false" customHeight="false" outlineLevel="0" collapsed="false">
      <c r="A9" s="11" t="s">
        <v>37</v>
      </c>
      <c r="B9" s="6" t="s">
        <v>52</v>
      </c>
      <c r="C9" s="11" t="s">
        <v>43</v>
      </c>
      <c r="D9" s="11" t="s">
        <v>44</v>
      </c>
      <c r="E9" s="11" t="s">
        <v>53</v>
      </c>
      <c r="F9" s="6" t="s">
        <v>54</v>
      </c>
      <c r="G9" s="11" t="s">
        <v>55</v>
      </c>
    </row>
    <row r="10" customFormat="false" ht="35.05" hidden="false" customHeight="false" outlineLevel="0" collapsed="false">
      <c r="A10" s="11" t="s">
        <v>37</v>
      </c>
      <c r="B10" s="6" t="s">
        <v>56</v>
      </c>
      <c r="C10" s="11" t="s">
        <v>43</v>
      </c>
      <c r="D10" s="11" t="s">
        <v>44</v>
      </c>
      <c r="E10" s="11" t="s">
        <v>57</v>
      </c>
      <c r="F10" s="6" t="s">
        <v>58</v>
      </c>
      <c r="G10" s="11" t="s">
        <v>47</v>
      </c>
    </row>
    <row r="11" customFormat="false" ht="15" hidden="false" customHeight="false" outlineLevel="0" collapsed="false">
      <c r="A11" s="11" t="s">
        <v>37</v>
      </c>
      <c r="B11" s="6" t="s">
        <v>59</v>
      </c>
      <c r="C11" s="11" t="s">
        <v>43</v>
      </c>
      <c r="D11" s="11" t="s">
        <v>44</v>
      </c>
      <c r="E11" s="11" t="s">
        <v>57</v>
      </c>
      <c r="F11" s="6" t="s">
        <v>60</v>
      </c>
      <c r="G11" s="11" t="s">
        <v>47</v>
      </c>
    </row>
    <row r="12" customFormat="false" ht="23.85" hidden="false" customHeight="false" outlineLevel="0" collapsed="false">
      <c r="A12" s="11" t="s">
        <v>61</v>
      </c>
      <c r="B12" s="6" t="s">
        <v>62</v>
      </c>
      <c r="C12" s="11" t="s">
        <v>39</v>
      </c>
      <c r="D12" s="11" t="s">
        <v>40</v>
      </c>
      <c r="E12" s="11"/>
      <c r="F12" s="6" t="s">
        <v>63</v>
      </c>
      <c r="G12" s="11"/>
    </row>
    <row r="13" customFormat="false" ht="23.85" hidden="false" customHeight="false" outlineLevel="0" collapsed="false">
      <c r="A13" s="11" t="s">
        <v>61</v>
      </c>
      <c r="B13" s="6" t="s">
        <v>64</v>
      </c>
      <c r="C13" s="11" t="s">
        <v>39</v>
      </c>
      <c r="D13" s="11" t="s">
        <v>65</v>
      </c>
      <c r="E13" s="11"/>
      <c r="F13" s="6" t="s">
        <v>66</v>
      </c>
      <c r="G13" s="11"/>
    </row>
    <row r="14" customFormat="false" ht="15" hidden="false" customHeight="false" outlineLevel="0" collapsed="false">
      <c r="A14" s="11" t="s">
        <v>61</v>
      </c>
      <c r="B14" s="6" t="s">
        <v>67</v>
      </c>
      <c r="C14" s="11" t="s">
        <v>39</v>
      </c>
      <c r="D14" s="11" t="s">
        <v>40</v>
      </c>
      <c r="E14" s="11"/>
      <c r="F14" s="6" t="s">
        <v>68</v>
      </c>
      <c r="G14" s="11"/>
    </row>
    <row r="15" customFormat="false" ht="23.85" hidden="false" customHeight="false" outlineLevel="0" collapsed="false">
      <c r="A15" s="11" t="s">
        <v>61</v>
      </c>
      <c r="B15" s="6" t="s">
        <v>69</v>
      </c>
      <c r="C15" s="11" t="s">
        <v>39</v>
      </c>
      <c r="D15" s="11" t="s">
        <v>40</v>
      </c>
      <c r="E15" s="11"/>
      <c r="F15" s="6"/>
      <c r="G15" s="11"/>
    </row>
    <row r="16" customFormat="false" ht="15" hidden="false" customHeight="false" outlineLevel="0" collapsed="false">
      <c r="A16" s="11" t="s">
        <v>61</v>
      </c>
      <c r="B16" s="6" t="s">
        <v>70</v>
      </c>
      <c r="C16" s="11" t="s">
        <v>39</v>
      </c>
      <c r="D16" s="11" t="s">
        <v>71</v>
      </c>
      <c r="E16" s="11"/>
      <c r="F16" s="6" t="s">
        <v>72</v>
      </c>
      <c r="G16" s="11"/>
    </row>
    <row r="17" customFormat="false" ht="23.85" hidden="false" customHeight="false" outlineLevel="0" collapsed="false">
      <c r="A17" s="11" t="s">
        <v>61</v>
      </c>
      <c r="B17" s="6" t="s">
        <v>73</v>
      </c>
      <c r="C17" s="11" t="s">
        <v>39</v>
      </c>
      <c r="D17" s="11" t="s">
        <v>71</v>
      </c>
      <c r="E17" s="11"/>
      <c r="F17" s="6" t="s">
        <v>74</v>
      </c>
      <c r="G17" s="11"/>
    </row>
    <row r="18" customFormat="false" ht="15" hidden="false" customHeight="false" outlineLevel="0" collapsed="false">
      <c r="A18" s="11" t="s">
        <v>75</v>
      </c>
      <c r="B18" s="6" t="s">
        <v>76</v>
      </c>
      <c r="C18" s="11" t="s">
        <v>39</v>
      </c>
      <c r="D18" s="11" t="s">
        <v>40</v>
      </c>
      <c r="E18" s="11"/>
      <c r="F18" s="6" t="s">
        <v>77</v>
      </c>
      <c r="G18" s="11"/>
    </row>
    <row r="19" customFormat="false" ht="23.85" hidden="false" customHeight="false" outlineLevel="0" collapsed="false">
      <c r="A19" s="11" t="s">
        <v>75</v>
      </c>
      <c r="B19" s="6" t="s">
        <v>78</v>
      </c>
      <c r="C19" s="11" t="s">
        <v>39</v>
      </c>
      <c r="D19" s="11" t="s">
        <v>40</v>
      </c>
      <c r="E19" s="11"/>
      <c r="F19" s="6"/>
      <c r="G19" s="11"/>
    </row>
    <row r="20" customFormat="false" ht="15" hidden="false" customHeight="false" outlineLevel="0" collapsed="false">
      <c r="A20" s="11" t="s">
        <v>75</v>
      </c>
      <c r="B20" s="6" t="s">
        <v>79</v>
      </c>
      <c r="C20" s="11" t="s">
        <v>39</v>
      </c>
      <c r="D20" s="11" t="s">
        <v>65</v>
      </c>
      <c r="E20" s="11"/>
      <c r="F20" s="6" t="s">
        <v>80</v>
      </c>
      <c r="G20" s="11"/>
    </row>
    <row r="21" customFormat="false" ht="23.85" hidden="false" customHeight="false" outlineLevel="0" collapsed="false">
      <c r="A21" s="11" t="s">
        <v>75</v>
      </c>
      <c r="B21" s="6" t="s">
        <v>81</v>
      </c>
      <c r="C21" s="11" t="s">
        <v>39</v>
      </c>
      <c r="D21" s="11" t="s">
        <v>40</v>
      </c>
      <c r="E21" s="11"/>
      <c r="F21" s="6"/>
      <c r="G21" s="11"/>
    </row>
    <row r="22" customFormat="false" ht="23.85" hidden="false" customHeight="false" outlineLevel="0" collapsed="false">
      <c r="A22" s="11" t="s">
        <v>75</v>
      </c>
      <c r="B22" s="6" t="s">
        <v>82</v>
      </c>
      <c r="C22" s="11" t="s">
        <v>39</v>
      </c>
      <c r="D22" s="11" t="s">
        <v>65</v>
      </c>
      <c r="E22" s="11"/>
      <c r="F22" s="6" t="s">
        <v>83</v>
      </c>
      <c r="G22" s="11"/>
    </row>
    <row r="23" customFormat="false" ht="15" hidden="false" customHeight="false" outlineLevel="0" collapsed="false">
      <c r="A23" s="11" t="s">
        <v>75</v>
      </c>
      <c r="B23" s="6" t="s">
        <v>84</v>
      </c>
      <c r="C23" s="11" t="s">
        <v>39</v>
      </c>
      <c r="D23" s="11" t="s">
        <v>71</v>
      </c>
      <c r="E23" s="11"/>
      <c r="F23" s="6" t="s">
        <v>85</v>
      </c>
      <c r="G23" s="11"/>
    </row>
    <row r="24" customFormat="false" ht="15" hidden="false" customHeight="false" outlineLevel="0" collapsed="false">
      <c r="A24" s="11" t="s">
        <v>86</v>
      </c>
      <c r="B24" s="6" t="s">
        <v>87</v>
      </c>
      <c r="C24" s="11" t="s">
        <v>39</v>
      </c>
      <c r="D24" s="11" t="s">
        <v>40</v>
      </c>
      <c r="E24" s="11"/>
      <c r="F24" s="6"/>
      <c r="G24" s="11"/>
    </row>
    <row r="25" customFormat="false" ht="23.85" hidden="false" customHeight="false" outlineLevel="0" collapsed="false">
      <c r="A25" s="11" t="s">
        <v>86</v>
      </c>
      <c r="B25" s="6" t="s">
        <v>88</v>
      </c>
      <c r="C25" s="11" t="s">
        <v>39</v>
      </c>
      <c r="D25" s="11" t="s">
        <v>40</v>
      </c>
      <c r="E25" s="11"/>
      <c r="F25" s="6"/>
      <c r="G25" s="11"/>
    </row>
    <row r="26" customFormat="false" ht="23.85" hidden="false" customHeight="false" outlineLevel="0" collapsed="false">
      <c r="A26" s="11" t="s">
        <v>86</v>
      </c>
      <c r="B26" s="6" t="s">
        <v>89</v>
      </c>
      <c r="C26" s="11" t="s">
        <v>39</v>
      </c>
      <c r="D26" s="11" t="s">
        <v>65</v>
      </c>
      <c r="E26" s="11"/>
      <c r="F26" s="6" t="s">
        <v>90</v>
      </c>
      <c r="G26" s="11"/>
    </row>
    <row r="27" customFormat="false" ht="15" hidden="false" customHeight="false" outlineLevel="0" collapsed="false">
      <c r="A27" s="11" t="s">
        <v>86</v>
      </c>
      <c r="B27" s="6" t="s">
        <v>91</v>
      </c>
      <c r="C27" s="11" t="s">
        <v>39</v>
      </c>
      <c r="D27" s="11" t="s">
        <v>40</v>
      </c>
      <c r="E27" s="11"/>
      <c r="F27" s="6"/>
      <c r="G27" s="11"/>
    </row>
    <row r="28" customFormat="false" ht="15" hidden="false" customHeight="false" outlineLevel="0" collapsed="false">
      <c r="A28" s="11" t="s">
        <v>86</v>
      </c>
      <c r="B28" s="6" t="s">
        <v>92</v>
      </c>
      <c r="C28" s="11" t="s">
        <v>39</v>
      </c>
      <c r="D28" s="11" t="s">
        <v>65</v>
      </c>
      <c r="E28" s="11"/>
      <c r="F28" s="6"/>
      <c r="G28" s="11"/>
    </row>
    <row r="29" customFormat="false" ht="23.85" hidden="false" customHeight="false" outlineLevel="0" collapsed="false">
      <c r="A29" s="11" t="s">
        <v>86</v>
      </c>
      <c r="B29" s="6" t="s">
        <v>93</v>
      </c>
      <c r="C29" s="11" t="s">
        <v>39</v>
      </c>
      <c r="D29" s="11" t="s">
        <v>71</v>
      </c>
      <c r="E29" s="11"/>
      <c r="F29" s="6"/>
      <c r="G29" s="11"/>
    </row>
    <row r="30" customFormat="false" ht="15" hidden="false" customHeight="false" outlineLevel="0" collapsed="false">
      <c r="A30" s="11" t="s">
        <v>94</v>
      </c>
      <c r="B30" s="6" t="s">
        <v>95</v>
      </c>
      <c r="C30" s="11" t="s">
        <v>39</v>
      </c>
      <c r="D30" s="11" t="s">
        <v>40</v>
      </c>
      <c r="E30" s="11"/>
      <c r="F30" s="6" t="s">
        <v>96</v>
      </c>
      <c r="G30" s="11"/>
    </row>
    <row r="31" customFormat="false" ht="23.85" hidden="false" customHeight="false" outlineLevel="0" collapsed="false">
      <c r="A31" s="11" t="s">
        <v>94</v>
      </c>
      <c r="B31" s="6" t="s">
        <v>97</v>
      </c>
      <c r="C31" s="11" t="s">
        <v>39</v>
      </c>
      <c r="D31" s="11" t="s">
        <v>40</v>
      </c>
      <c r="E31" s="11"/>
      <c r="F31" s="6" t="s">
        <v>98</v>
      </c>
      <c r="G31" s="11"/>
    </row>
    <row r="32" customFormat="false" ht="15" hidden="false" customHeight="false" outlineLevel="0" collapsed="false">
      <c r="A32" s="11" t="s">
        <v>94</v>
      </c>
      <c r="B32" s="6" t="s">
        <v>99</v>
      </c>
      <c r="C32" s="11" t="s">
        <v>39</v>
      </c>
      <c r="D32" s="11" t="s">
        <v>40</v>
      </c>
      <c r="E32" s="11"/>
      <c r="F32" s="6" t="s">
        <v>100</v>
      </c>
      <c r="G32" s="11"/>
    </row>
    <row r="33" customFormat="false" ht="15" hidden="false" customHeight="false" outlineLevel="0" collapsed="false">
      <c r="A33" s="11" t="s">
        <v>94</v>
      </c>
      <c r="B33" s="6" t="s">
        <v>101</v>
      </c>
      <c r="C33" s="11" t="s">
        <v>39</v>
      </c>
      <c r="D33" s="11" t="s">
        <v>40</v>
      </c>
      <c r="E33" s="11"/>
      <c r="F33" s="6" t="s">
        <v>102</v>
      </c>
      <c r="G33" s="11"/>
    </row>
    <row r="34" customFormat="false" ht="15" hidden="false" customHeight="false" outlineLevel="0" collapsed="false">
      <c r="A34" s="11" t="s">
        <v>94</v>
      </c>
      <c r="B34" s="6" t="s">
        <v>103</v>
      </c>
      <c r="C34" s="11" t="s">
        <v>39</v>
      </c>
      <c r="D34" s="11" t="s">
        <v>65</v>
      </c>
      <c r="E34" s="11"/>
      <c r="F34" s="6" t="s">
        <v>104</v>
      </c>
      <c r="G34" s="11"/>
    </row>
    <row r="35" customFormat="false" ht="23.85" hidden="false" customHeight="false" outlineLevel="0" collapsed="false">
      <c r="A35" s="11" t="s">
        <v>94</v>
      </c>
      <c r="B35" s="6" t="s">
        <v>105</v>
      </c>
      <c r="C35" s="11" t="s">
        <v>39</v>
      </c>
      <c r="D35" s="11" t="s">
        <v>65</v>
      </c>
      <c r="E35" s="11"/>
      <c r="F35" s="6"/>
      <c r="G35" s="11"/>
    </row>
    <row r="36" customFormat="false" ht="15" hidden="false" customHeight="false" outlineLevel="0" collapsed="false">
      <c r="A36" s="11" t="s">
        <v>106</v>
      </c>
      <c r="B36" s="6" t="s">
        <v>107</v>
      </c>
      <c r="C36" s="11" t="s">
        <v>39</v>
      </c>
      <c r="D36" s="11" t="s">
        <v>40</v>
      </c>
      <c r="E36" s="11"/>
      <c r="F36" s="6" t="s">
        <v>108</v>
      </c>
      <c r="G36" s="11"/>
    </row>
    <row r="37" customFormat="false" ht="23.85" hidden="false" customHeight="false" outlineLevel="0" collapsed="false">
      <c r="A37" s="11" t="s">
        <v>106</v>
      </c>
      <c r="B37" s="6" t="s">
        <v>109</v>
      </c>
      <c r="C37" s="11" t="s">
        <v>39</v>
      </c>
      <c r="D37" s="11" t="s">
        <v>40</v>
      </c>
      <c r="E37" s="11"/>
      <c r="F37" s="6"/>
      <c r="G37" s="11"/>
    </row>
    <row r="38" customFormat="false" ht="23.85" hidden="false" customHeight="false" outlineLevel="0" collapsed="false">
      <c r="A38" s="11" t="s">
        <v>106</v>
      </c>
      <c r="B38" s="6" t="s">
        <v>110</v>
      </c>
      <c r="C38" s="11" t="s">
        <v>39</v>
      </c>
      <c r="D38" s="11" t="s">
        <v>40</v>
      </c>
      <c r="E38" s="11"/>
      <c r="F38" s="6" t="s">
        <v>111</v>
      </c>
      <c r="G38" s="11"/>
    </row>
    <row r="39" customFormat="false" ht="15" hidden="false" customHeight="false" outlineLevel="0" collapsed="false">
      <c r="A39" s="11" t="s">
        <v>106</v>
      </c>
      <c r="B39" s="6" t="s">
        <v>112</v>
      </c>
      <c r="C39" s="11" t="s">
        <v>39</v>
      </c>
      <c r="D39" s="11" t="s">
        <v>40</v>
      </c>
      <c r="E39" s="11"/>
      <c r="F39" s="6" t="s">
        <v>113</v>
      </c>
      <c r="G39" s="11"/>
    </row>
    <row r="40" customFormat="false" ht="23.85" hidden="false" customHeight="false" outlineLevel="0" collapsed="false">
      <c r="A40" s="11" t="s">
        <v>106</v>
      </c>
      <c r="B40" s="6" t="s">
        <v>114</v>
      </c>
      <c r="C40" s="11" t="s">
        <v>39</v>
      </c>
      <c r="D40" s="11" t="s">
        <v>40</v>
      </c>
      <c r="E40" s="11"/>
      <c r="F40" s="6"/>
      <c r="G40" s="11"/>
    </row>
    <row r="41" customFormat="false" ht="23.85" hidden="false" customHeight="false" outlineLevel="0" collapsed="false">
      <c r="A41" s="11" t="s">
        <v>106</v>
      </c>
      <c r="B41" s="6" t="s">
        <v>115</v>
      </c>
      <c r="C41" s="11" t="s">
        <v>39</v>
      </c>
      <c r="D41" s="11" t="s">
        <v>65</v>
      </c>
      <c r="E41" s="11"/>
      <c r="F41" s="6" t="s">
        <v>116</v>
      </c>
      <c r="G41" s="11"/>
    </row>
    <row r="42" customFormat="false" ht="15" hidden="false" customHeight="false" outlineLevel="0" collapsed="false">
      <c r="A42" s="11" t="s">
        <v>106</v>
      </c>
      <c r="B42" s="6" t="s">
        <v>117</v>
      </c>
      <c r="C42" s="11" t="s">
        <v>39</v>
      </c>
      <c r="D42" s="11" t="s">
        <v>65</v>
      </c>
      <c r="E42" s="11"/>
      <c r="F42" s="6" t="s">
        <v>118</v>
      </c>
      <c r="G42" s="11"/>
    </row>
    <row r="43" customFormat="false" ht="15" hidden="false" customHeight="false" outlineLevel="0" collapsed="false">
      <c r="A43" s="11" t="s">
        <v>106</v>
      </c>
      <c r="B43" s="6" t="s">
        <v>119</v>
      </c>
      <c r="C43" s="11" t="s">
        <v>39</v>
      </c>
      <c r="D43" s="11" t="s">
        <v>71</v>
      </c>
      <c r="E43" s="11"/>
      <c r="F43" s="6" t="s">
        <v>120</v>
      </c>
      <c r="G43" s="11"/>
    </row>
    <row r="44" customFormat="false" ht="15" hidden="false" customHeight="false" outlineLevel="0" collapsed="false">
      <c r="A44" s="11" t="s">
        <v>106</v>
      </c>
      <c r="B44" s="6" t="s">
        <v>121</v>
      </c>
      <c r="C44" s="11" t="s">
        <v>39</v>
      </c>
      <c r="D44" s="11" t="s">
        <v>65</v>
      </c>
      <c r="E44" s="11"/>
      <c r="F44" s="6"/>
      <c r="G44" s="11"/>
    </row>
    <row r="45" customFormat="false" ht="23.85" hidden="false" customHeight="false" outlineLevel="0" collapsed="false">
      <c r="A45" s="11" t="s">
        <v>106</v>
      </c>
      <c r="B45" s="6" t="s">
        <v>122</v>
      </c>
      <c r="C45" s="11" t="s">
        <v>39</v>
      </c>
      <c r="D45" s="11" t="s">
        <v>65</v>
      </c>
      <c r="E45" s="11"/>
      <c r="F45" s="6" t="s">
        <v>123</v>
      </c>
      <c r="G45" s="11"/>
    </row>
    <row r="46" customFormat="false" ht="23.85" hidden="false" customHeight="false" outlineLevel="0" collapsed="false">
      <c r="A46" s="11" t="s">
        <v>124</v>
      </c>
      <c r="B46" s="6" t="s">
        <v>125</v>
      </c>
      <c r="C46" s="11" t="s">
        <v>39</v>
      </c>
      <c r="D46" s="11" t="s">
        <v>40</v>
      </c>
      <c r="E46" s="11"/>
      <c r="F46" s="6" t="s">
        <v>126</v>
      </c>
      <c r="G46" s="11"/>
    </row>
    <row r="47" customFormat="false" ht="23.85" hidden="false" customHeight="false" outlineLevel="0" collapsed="false">
      <c r="A47" s="11" t="s">
        <v>124</v>
      </c>
      <c r="B47" s="6" t="s">
        <v>127</v>
      </c>
      <c r="C47" s="11" t="s">
        <v>39</v>
      </c>
      <c r="D47" s="11" t="s">
        <v>65</v>
      </c>
      <c r="E47" s="11"/>
      <c r="F47" s="6" t="s">
        <v>128</v>
      </c>
      <c r="G47" s="11"/>
    </row>
    <row r="48" customFormat="false" ht="15" hidden="false" customHeight="false" outlineLevel="0" collapsed="false">
      <c r="A48" s="11" t="s">
        <v>124</v>
      </c>
      <c r="B48" s="6" t="s">
        <v>129</v>
      </c>
      <c r="C48" s="11" t="s">
        <v>39</v>
      </c>
      <c r="D48" s="11" t="s">
        <v>65</v>
      </c>
      <c r="E48" s="11"/>
      <c r="F48" s="6" t="s">
        <v>130</v>
      </c>
      <c r="G48" s="11"/>
    </row>
    <row r="50" customFormat="false" ht="15" hidden="false" customHeight="false" outlineLevel="0" collapsed="false">
      <c r="A50" s="3" t="s">
        <v>131</v>
      </c>
    </row>
    <row r="51" customFormat="false" ht="15" hidden="false" customHeight="false" outlineLevel="0" collapsed="false">
      <c r="A51" s="4" t="s">
        <v>32</v>
      </c>
      <c r="B51" s="4" t="s">
        <v>132</v>
      </c>
    </row>
    <row r="52" customFormat="false" ht="15" hidden="false" customHeight="false" outlineLevel="0" collapsed="false">
      <c r="A52" s="11" t="s">
        <v>39</v>
      </c>
      <c r="B52" s="12" t="n">
        <f aca="false">COUNTIF(C5:C48,"Open")</f>
        <v>38</v>
      </c>
    </row>
    <row r="53" customFormat="false" ht="15" hidden="false" customHeight="false" outlineLevel="0" collapsed="false">
      <c r="A53" s="11" t="s">
        <v>49</v>
      </c>
      <c r="B53" s="12" t="n">
        <f aca="false">COUNTIF(C5:C48,"In progress")</f>
        <v>2</v>
      </c>
    </row>
    <row r="54" customFormat="false" ht="15" hidden="false" customHeight="false" outlineLevel="0" collapsed="false">
      <c r="A54" s="11" t="s">
        <v>43</v>
      </c>
      <c r="B54" s="12" t="n">
        <f aca="false">COUNTIF(C5:C48,"Resolved")</f>
        <v>4</v>
      </c>
    </row>
    <row r="55" customFormat="false" ht="15" hidden="false" customHeight="false" outlineLevel="0" collapsed="false">
      <c r="A55" s="11" t="s">
        <v>133</v>
      </c>
      <c r="B55" s="12" t="n">
        <f aca="false">COUNTIF(C5:C48,"Blocked")</f>
        <v>0</v>
      </c>
    </row>
  </sheetData>
  <autoFilter ref="A4:G48"/>
  <conditionalFormatting sqref="C5:C48">
    <cfRule type="cellIs" priority="2" operator="equal" aboveAverage="0" equalAverage="0" bottom="0" percent="0" rank="0" text="" dxfId="8">
      <formula>"Open"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10">
      <formula>"Resolved"</formula>
    </cfRule>
  </conditionalFormatting>
  <conditionalFormatting sqref="D5:D48">
    <cfRule type="cellIs" priority="5" operator="equal" aboveAverage="0" equalAverage="0" bottom="0" percent="0" rank="0" text="" dxfId="11">
      <formula>"High"</formula>
    </cfRule>
  </conditionalFormatting>
  <dataValidations count="2">
    <dataValidation allowBlank="true" errorStyle="stop" operator="between" showDropDown="false" showErrorMessage="false" showInputMessage="false" sqref="C5:C48" type="list">
      <formula1>"Open,In progress,Resolved,Blocked"</formula1>
      <formula2>0</formula2>
    </dataValidation>
    <dataValidation allowBlank="true" errorStyle="stop" operator="between" showDropDown="false" showErrorMessage="false" showInputMessage="false" sqref="D5:D48" type="list">
      <formula1>"High,Medium,Low,—"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4" t="s">
        <v>136</v>
      </c>
      <c r="B4" s="4" t="s">
        <v>137</v>
      </c>
      <c r="C4" s="4" t="s">
        <v>138</v>
      </c>
      <c r="D4" s="4" t="s">
        <v>32</v>
      </c>
      <c r="E4" s="4" t="s">
        <v>139</v>
      </c>
      <c r="F4" s="4" t="s">
        <v>140</v>
      </c>
      <c r="G4" s="4" t="s">
        <v>141</v>
      </c>
      <c r="H4" s="4" t="s">
        <v>142</v>
      </c>
    </row>
    <row r="5" customFormat="false" ht="23.85" hidden="false" customHeight="false" outlineLevel="0" collapsed="false">
      <c r="A5" s="11" t="s">
        <v>143</v>
      </c>
      <c r="B5" s="11" t="s">
        <v>144</v>
      </c>
      <c r="C5" s="6" t="s">
        <v>145</v>
      </c>
      <c r="D5" s="11" t="s">
        <v>39</v>
      </c>
      <c r="E5" s="11"/>
      <c r="F5" s="11"/>
      <c r="G5" s="6" t="s">
        <v>146</v>
      </c>
      <c r="H5" s="11"/>
    </row>
    <row r="6" customFormat="false" ht="23.85" hidden="false" customHeight="false" outlineLevel="0" collapsed="false">
      <c r="A6" s="11" t="s">
        <v>143</v>
      </c>
      <c r="B6" s="11" t="s">
        <v>147</v>
      </c>
      <c r="C6" s="6" t="s">
        <v>148</v>
      </c>
      <c r="D6" s="11" t="s">
        <v>49</v>
      </c>
      <c r="E6" s="11"/>
      <c r="F6" s="11"/>
      <c r="G6" s="6" t="s">
        <v>149</v>
      </c>
      <c r="H6" s="11"/>
    </row>
    <row r="7" customFormat="false" ht="23.85" hidden="false" customHeight="false" outlineLevel="0" collapsed="false">
      <c r="A7" s="11" t="s">
        <v>143</v>
      </c>
      <c r="B7" s="11" t="s">
        <v>150</v>
      </c>
      <c r="C7" s="6" t="s">
        <v>151</v>
      </c>
      <c r="D7" s="11" t="s">
        <v>39</v>
      </c>
      <c r="E7" s="11"/>
      <c r="F7" s="11"/>
      <c r="G7" s="6"/>
      <c r="H7" s="11"/>
    </row>
    <row r="8" customFormat="false" ht="23.85" hidden="false" customHeight="false" outlineLevel="0" collapsed="false">
      <c r="A8" s="11" t="s">
        <v>143</v>
      </c>
      <c r="B8" s="11" t="s">
        <v>152</v>
      </c>
      <c r="C8" s="6" t="s">
        <v>153</v>
      </c>
      <c r="D8" s="11" t="s">
        <v>39</v>
      </c>
      <c r="E8" s="11"/>
      <c r="F8" s="11"/>
      <c r="G8" s="6"/>
      <c r="H8" s="11"/>
    </row>
    <row r="9" customFormat="false" ht="23.85" hidden="false" customHeight="false" outlineLevel="0" collapsed="false">
      <c r="A9" s="11" t="s">
        <v>143</v>
      </c>
      <c r="B9" s="11" t="s">
        <v>154</v>
      </c>
      <c r="C9" s="6" t="s">
        <v>155</v>
      </c>
      <c r="D9" s="11" t="s">
        <v>39</v>
      </c>
      <c r="E9" s="11"/>
      <c r="F9" s="11"/>
      <c r="G9" s="6"/>
      <c r="H9" s="11"/>
    </row>
    <row r="10" customFormat="false" ht="23.85" hidden="false" customHeight="false" outlineLevel="0" collapsed="false">
      <c r="A10" s="11" t="s">
        <v>156</v>
      </c>
      <c r="B10" s="11" t="s">
        <v>157</v>
      </c>
      <c r="C10" s="6" t="s">
        <v>158</v>
      </c>
      <c r="D10" s="11" t="s">
        <v>39</v>
      </c>
      <c r="E10" s="11"/>
      <c r="F10" s="11"/>
      <c r="G10" s="6" t="s">
        <v>159</v>
      </c>
      <c r="H10" s="11"/>
    </row>
    <row r="11" customFormat="false" ht="15" hidden="false" customHeight="false" outlineLevel="0" collapsed="false">
      <c r="A11" s="11" t="s">
        <v>156</v>
      </c>
      <c r="B11" s="11" t="s">
        <v>160</v>
      </c>
      <c r="C11" s="6" t="s">
        <v>161</v>
      </c>
      <c r="D11" s="11" t="s">
        <v>39</v>
      </c>
      <c r="E11" s="11"/>
      <c r="F11" s="11"/>
      <c r="G11" s="6" t="s">
        <v>159</v>
      </c>
      <c r="H11" s="11"/>
    </row>
    <row r="12" customFormat="false" ht="15" hidden="false" customHeight="false" outlineLevel="0" collapsed="false">
      <c r="A12" s="11" t="s">
        <v>156</v>
      </c>
      <c r="B12" s="11" t="s">
        <v>162</v>
      </c>
      <c r="C12" s="6" t="s">
        <v>163</v>
      </c>
      <c r="D12" s="11" t="s">
        <v>39</v>
      </c>
      <c r="E12" s="11"/>
      <c r="F12" s="11"/>
      <c r="G12" s="6" t="s">
        <v>159</v>
      </c>
      <c r="H12" s="11"/>
    </row>
    <row r="13" customFormat="false" ht="23.85" hidden="false" customHeight="false" outlineLevel="0" collapsed="false">
      <c r="A13" s="11" t="s">
        <v>156</v>
      </c>
      <c r="B13" s="11" t="s">
        <v>164</v>
      </c>
      <c r="C13" s="6" t="s">
        <v>165</v>
      </c>
      <c r="D13" s="11" t="s">
        <v>39</v>
      </c>
      <c r="E13" s="11"/>
      <c r="F13" s="11"/>
      <c r="G13" s="6" t="s">
        <v>159</v>
      </c>
      <c r="H13" s="11"/>
    </row>
    <row r="14" customFormat="false" ht="35.05" hidden="false" customHeight="false" outlineLevel="0" collapsed="false">
      <c r="A14" s="11" t="s">
        <v>166</v>
      </c>
      <c r="B14" s="11" t="s">
        <v>167</v>
      </c>
      <c r="C14" s="6" t="s">
        <v>168</v>
      </c>
      <c r="D14" s="11" t="s">
        <v>39</v>
      </c>
      <c r="E14" s="11"/>
      <c r="F14" s="11"/>
      <c r="G14" s="6" t="s">
        <v>169</v>
      </c>
      <c r="H14" s="11"/>
    </row>
    <row r="15" customFormat="false" ht="15" hidden="false" customHeight="false" outlineLevel="0" collapsed="false">
      <c r="A15" s="11" t="s">
        <v>166</v>
      </c>
      <c r="B15" s="11" t="s">
        <v>170</v>
      </c>
      <c r="C15" s="6" t="s">
        <v>171</v>
      </c>
      <c r="D15" s="11" t="s">
        <v>39</v>
      </c>
      <c r="E15" s="11"/>
      <c r="F15" s="11"/>
      <c r="G15" s="6"/>
      <c r="H15" s="11"/>
    </row>
    <row r="16" customFormat="false" ht="23.85" hidden="false" customHeight="false" outlineLevel="0" collapsed="false">
      <c r="A16" s="11" t="s">
        <v>172</v>
      </c>
      <c r="B16" s="11" t="s">
        <v>173</v>
      </c>
      <c r="C16" s="6" t="s">
        <v>174</v>
      </c>
      <c r="D16" s="11" t="s">
        <v>39</v>
      </c>
      <c r="E16" s="11"/>
      <c r="F16" s="11"/>
      <c r="G16" s="6"/>
      <c r="H16" s="11"/>
    </row>
    <row r="17" customFormat="false" ht="23.85" hidden="false" customHeight="false" outlineLevel="0" collapsed="false">
      <c r="A17" s="11" t="s">
        <v>172</v>
      </c>
      <c r="B17" s="11" t="s">
        <v>175</v>
      </c>
      <c r="C17" s="6" t="s">
        <v>176</v>
      </c>
      <c r="D17" s="11" t="s">
        <v>39</v>
      </c>
      <c r="E17" s="11"/>
      <c r="F17" s="11"/>
      <c r="G17" s="6"/>
      <c r="H17" s="11"/>
    </row>
    <row r="19" customFormat="false" ht="15" hidden="false" customHeight="false" outlineLevel="0" collapsed="false">
      <c r="A19" s="3" t="s">
        <v>131</v>
      </c>
    </row>
    <row r="20" customFormat="false" ht="15" hidden="false" customHeight="false" outlineLevel="0" collapsed="false">
      <c r="A20" s="4" t="s">
        <v>32</v>
      </c>
      <c r="B20" s="4" t="s">
        <v>132</v>
      </c>
    </row>
    <row r="21" customFormat="false" ht="15" hidden="false" customHeight="false" outlineLevel="0" collapsed="false">
      <c r="A21" s="11" t="s">
        <v>39</v>
      </c>
      <c r="B21" s="12" t="n">
        <f aca="false">COUNTIF(D5:D17,"Open")</f>
        <v>12</v>
      </c>
    </row>
    <row r="22" customFormat="false" ht="15" hidden="false" customHeight="false" outlineLevel="0" collapsed="false">
      <c r="A22" s="11" t="s">
        <v>177</v>
      </c>
      <c r="B22" s="12" t="n">
        <f aca="false">COUNTIF(D5:D17,"Sourcing")</f>
        <v>0</v>
      </c>
    </row>
    <row r="23" customFormat="false" ht="15" hidden="false" customHeight="false" outlineLevel="0" collapsed="false">
      <c r="A23" s="11" t="s">
        <v>178</v>
      </c>
      <c r="B23" s="12" t="n">
        <f aca="false">COUNTIF(D5:D17,"Interviewing")</f>
        <v>0</v>
      </c>
    </row>
    <row r="24" customFormat="false" ht="15" hidden="false" customHeight="false" outlineLevel="0" collapsed="false">
      <c r="A24" s="11" t="s">
        <v>179</v>
      </c>
      <c r="B24" s="12" t="n">
        <f aca="false">COUNTIF(D5:D17,"Offered")</f>
        <v>0</v>
      </c>
    </row>
    <row r="25" customFormat="false" ht="15" hidden="false" customHeight="false" outlineLevel="0" collapsed="false">
      <c r="A25" s="11" t="s">
        <v>180</v>
      </c>
      <c r="B25" s="12" t="n">
        <f aca="false">COUNTIF(D5:D17,"Filled")</f>
        <v>0</v>
      </c>
    </row>
    <row r="26" customFormat="false" ht="15" hidden="false" customHeight="false" outlineLevel="0" collapsed="false">
      <c r="A26" s="11" t="s">
        <v>181</v>
      </c>
      <c r="B26" s="12" t="n">
        <f aca="false">COUNTIF(D5:D17,"On hold")</f>
        <v>0</v>
      </c>
    </row>
  </sheetData>
  <autoFilter ref="A4:H17"/>
  <conditionalFormatting sqref="D5:D17">
    <cfRule type="cellIs" priority="2" operator="equal" aboveAverage="0" equalAverage="0" bottom="0" percent="0" rank="0" text="" dxfId="8">
      <formula>"Open"</formula>
    </cfRule>
    <cfRule type="cellIs" priority="3" operator="equal" aboveAverage="0" equalAverage="0" bottom="0" percent="0" rank="0" text="" dxfId="9">
      <formula>"Sourcing"</formula>
    </cfRule>
    <cfRule type="cellIs" priority="4" operator="equal" aboveAverage="0" equalAverage="0" bottom="0" percent="0" rank="0" text="" dxfId="9">
      <formula>"Interviewing"</formula>
    </cfRule>
    <cfRule type="cellIs" priority="5" operator="equal" aboveAverage="0" equalAverage="0" bottom="0" percent="0" rank="0" text="" dxfId="10">
      <formula>"Offered"</formula>
    </cfRule>
    <cfRule type="cellIs" priority="6" operator="equal" aboveAverage="0" equalAverage="0" bottom="0" percent="0" rank="0" text="" dxfId="10">
      <formula>"Filled"</formula>
    </cfRule>
  </conditionalFormatting>
  <dataValidations count="1">
    <dataValidation allowBlank="true" errorStyle="stop" operator="between" showDropDown="false" showErrorMessage="false" showInputMessage="false" sqref="D5:D17" type="list">
      <formula1>"Open,Sourcing,Interviewing,Offered,Filled,On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23.85" hidden="false" customHeight="false" outlineLevel="0" collapsed="false">
      <c r="A4" s="4" t="s">
        <v>184</v>
      </c>
      <c r="B4" s="4" t="s">
        <v>185</v>
      </c>
      <c r="C4" s="4" t="s">
        <v>186</v>
      </c>
      <c r="D4" s="4" t="s">
        <v>187</v>
      </c>
      <c r="E4" s="4" t="s">
        <v>188</v>
      </c>
      <c r="F4" s="4" t="s">
        <v>189</v>
      </c>
      <c r="G4" s="4" t="s">
        <v>190</v>
      </c>
      <c r="H4" s="4" t="s">
        <v>191</v>
      </c>
      <c r="I4" s="4" t="s">
        <v>192</v>
      </c>
      <c r="J4" s="4" t="s">
        <v>193</v>
      </c>
    </row>
    <row r="5" customFormat="false" ht="35.05" hidden="false" customHeight="false" outlineLevel="0" collapsed="false">
      <c r="A5" s="11" t="s">
        <v>194</v>
      </c>
      <c r="B5" s="6" t="s">
        <v>106</v>
      </c>
      <c r="C5" s="11" t="s">
        <v>195</v>
      </c>
      <c r="D5" s="11" t="s">
        <v>196</v>
      </c>
      <c r="E5" s="11" t="s">
        <v>197</v>
      </c>
      <c r="F5" s="11" t="s">
        <v>198</v>
      </c>
      <c r="G5" s="6" t="s">
        <v>199</v>
      </c>
      <c r="H5" s="11"/>
      <c r="I5" s="11"/>
      <c r="J5" s="6" t="s">
        <v>200</v>
      </c>
    </row>
    <row r="6" customFormat="false" ht="23.85" hidden="false" customHeight="false" outlineLevel="0" collapsed="false">
      <c r="A6" s="11" t="s">
        <v>201</v>
      </c>
      <c r="B6" s="6" t="s">
        <v>106</v>
      </c>
      <c r="C6" s="11" t="s">
        <v>202</v>
      </c>
      <c r="D6" s="11" t="s">
        <v>203</v>
      </c>
      <c r="E6" s="11" t="s">
        <v>204</v>
      </c>
      <c r="F6" s="11" t="s">
        <v>198</v>
      </c>
      <c r="G6" s="6" t="s">
        <v>205</v>
      </c>
      <c r="H6" s="11"/>
      <c r="I6" s="11"/>
      <c r="J6" s="6" t="s">
        <v>206</v>
      </c>
    </row>
    <row r="7" customFormat="false" ht="23.85" hidden="false" customHeight="false" outlineLevel="0" collapsed="false">
      <c r="A7" s="11" t="s">
        <v>207</v>
      </c>
      <c r="B7" s="6" t="s">
        <v>106</v>
      </c>
      <c r="C7" s="11" t="s">
        <v>208</v>
      </c>
      <c r="D7" s="11" t="s">
        <v>209</v>
      </c>
      <c r="E7" s="11" t="s">
        <v>210</v>
      </c>
      <c r="F7" s="11" t="s">
        <v>198</v>
      </c>
      <c r="G7" s="6" t="s">
        <v>211</v>
      </c>
      <c r="H7" s="11"/>
      <c r="I7" s="11"/>
      <c r="J7" s="6" t="s">
        <v>212</v>
      </c>
    </row>
    <row r="8" customFormat="false" ht="23.85" hidden="false" customHeight="false" outlineLevel="0" collapsed="false">
      <c r="A8" s="11" t="s">
        <v>213</v>
      </c>
      <c r="B8" s="6" t="s">
        <v>106</v>
      </c>
      <c r="C8" s="11" t="s">
        <v>208</v>
      </c>
      <c r="D8" s="11" t="s">
        <v>209</v>
      </c>
      <c r="E8" s="11" t="s">
        <v>214</v>
      </c>
      <c r="F8" s="11" t="s">
        <v>198</v>
      </c>
      <c r="G8" s="6" t="s">
        <v>215</v>
      </c>
      <c r="H8" s="11"/>
      <c r="I8" s="11"/>
      <c r="J8" s="6" t="s">
        <v>216</v>
      </c>
    </row>
    <row r="9" customFormat="false" ht="15" hidden="false" customHeight="false" outlineLevel="0" collapsed="false">
      <c r="A9" s="11" t="s">
        <v>217</v>
      </c>
      <c r="B9" s="6" t="s">
        <v>106</v>
      </c>
      <c r="C9" s="11" t="s">
        <v>218</v>
      </c>
      <c r="D9" s="11" t="s">
        <v>219</v>
      </c>
      <c r="E9" s="11" t="s">
        <v>220</v>
      </c>
      <c r="F9" s="11" t="s">
        <v>198</v>
      </c>
      <c r="G9" s="6" t="s">
        <v>221</v>
      </c>
      <c r="H9" s="11"/>
      <c r="I9" s="11"/>
      <c r="J9" s="6" t="s">
        <v>222</v>
      </c>
    </row>
    <row r="10" customFormat="false" ht="23.85" hidden="false" customHeight="false" outlineLevel="0" collapsed="false">
      <c r="A10" s="11" t="s">
        <v>223</v>
      </c>
      <c r="B10" s="6" t="s">
        <v>106</v>
      </c>
      <c r="C10" s="11" t="s">
        <v>224</v>
      </c>
      <c r="D10" s="11" t="s">
        <v>225</v>
      </c>
      <c r="E10" s="11" t="s">
        <v>226</v>
      </c>
      <c r="F10" s="11" t="s">
        <v>198</v>
      </c>
      <c r="G10" s="6" t="s">
        <v>227</v>
      </c>
      <c r="H10" s="11"/>
      <c r="I10" s="11"/>
      <c r="J10" s="6" t="s">
        <v>228</v>
      </c>
    </row>
    <row r="11" customFormat="false" ht="23.85" hidden="false" customHeight="false" outlineLevel="0" collapsed="false">
      <c r="A11" s="11" t="s">
        <v>229</v>
      </c>
      <c r="B11" s="6" t="s">
        <v>106</v>
      </c>
      <c r="C11" s="11" t="s">
        <v>230</v>
      </c>
      <c r="D11" s="11" t="s">
        <v>219</v>
      </c>
      <c r="E11" s="11" t="s">
        <v>231</v>
      </c>
      <c r="F11" s="11" t="s">
        <v>198</v>
      </c>
      <c r="G11" s="6" t="s">
        <v>232</v>
      </c>
      <c r="H11" s="11"/>
      <c r="I11" s="11"/>
      <c r="J11" s="6" t="s">
        <v>233</v>
      </c>
    </row>
    <row r="12" customFormat="false" ht="35.05" hidden="false" customHeight="false" outlineLevel="0" collapsed="false">
      <c r="A12" s="11" t="s">
        <v>234</v>
      </c>
      <c r="B12" s="6" t="s">
        <v>235</v>
      </c>
      <c r="C12" s="11" t="s">
        <v>236</v>
      </c>
      <c r="D12" s="11" t="s">
        <v>237</v>
      </c>
      <c r="E12" s="11" t="s">
        <v>238</v>
      </c>
      <c r="F12" s="11" t="s">
        <v>198</v>
      </c>
      <c r="G12" s="6" t="s">
        <v>239</v>
      </c>
      <c r="H12" s="11"/>
      <c r="I12" s="11"/>
      <c r="J12" s="6" t="s">
        <v>240</v>
      </c>
    </row>
    <row r="13" customFormat="false" ht="23.85" hidden="false" customHeight="false" outlineLevel="0" collapsed="false">
      <c r="A13" s="11" t="s">
        <v>241</v>
      </c>
      <c r="B13" s="6" t="s">
        <v>37</v>
      </c>
      <c r="C13" s="11" t="s">
        <v>242</v>
      </c>
      <c r="D13" s="11" t="s">
        <v>243</v>
      </c>
      <c r="E13" s="11" t="s">
        <v>244</v>
      </c>
      <c r="F13" s="11" t="s">
        <v>198</v>
      </c>
      <c r="G13" s="6" t="s">
        <v>245</v>
      </c>
      <c r="H13" s="11"/>
      <c r="I13" s="11"/>
      <c r="J13" s="6" t="s">
        <v>246</v>
      </c>
    </row>
    <row r="14" customFormat="false" ht="35.05" hidden="false" customHeight="false" outlineLevel="0" collapsed="false">
      <c r="A14" s="11" t="s">
        <v>247</v>
      </c>
      <c r="B14" s="6" t="s">
        <v>248</v>
      </c>
      <c r="C14" s="11" t="s">
        <v>249</v>
      </c>
      <c r="D14" s="11" t="s">
        <v>250</v>
      </c>
      <c r="E14" s="11" t="s">
        <v>251</v>
      </c>
      <c r="F14" s="11" t="s">
        <v>198</v>
      </c>
      <c r="G14" s="6" t="s">
        <v>252</v>
      </c>
      <c r="H14" s="11"/>
      <c r="I14" s="11"/>
      <c r="J14" s="6" t="s">
        <v>253</v>
      </c>
    </row>
    <row r="15" customFormat="false" ht="23.85" hidden="false" customHeight="false" outlineLevel="0" collapsed="false">
      <c r="A15" s="11" t="s">
        <v>254</v>
      </c>
      <c r="B15" s="6" t="s">
        <v>255</v>
      </c>
      <c r="C15" s="11" t="s">
        <v>256</v>
      </c>
      <c r="D15" s="11" t="s">
        <v>257</v>
      </c>
      <c r="E15" s="11" t="s">
        <v>258</v>
      </c>
      <c r="F15" s="11" t="s">
        <v>198</v>
      </c>
      <c r="G15" s="6" t="s">
        <v>259</v>
      </c>
      <c r="H15" s="11"/>
      <c r="I15" s="11"/>
      <c r="J15" s="6" t="s">
        <v>260</v>
      </c>
    </row>
    <row r="16" customFormat="false" ht="23.85" hidden="false" customHeight="false" outlineLevel="0" collapsed="false">
      <c r="A16" s="11" t="s">
        <v>261</v>
      </c>
      <c r="B16" s="6" t="s">
        <v>262</v>
      </c>
      <c r="C16" s="11" t="s">
        <v>256</v>
      </c>
      <c r="D16" s="11" t="s">
        <v>263</v>
      </c>
      <c r="E16" s="11" t="s">
        <v>264</v>
      </c>
      <c r="F16" s="11" t="s">
        <v>198</v>
      </c>
      <c r="G16" s="6" t="s">
        <v>265</v>
      </c>
      <c r="H16" s="11"/>
      <c r="I16" s="11"/>
      <c r="J16" s="6" t="s">
        <v>266</v>
      </c>
    </row>
    <row r="17" customFormat="false" ht="23.85" hidden="false" customHeight="false" outlineLevel="0" collapsed="false">
      <c r="A17" s="11" t="s">
        <v>267</v>
      </c>
      <c r="B17" s="6" t="s">
        <v>268</v>
      </c>
      <c r="C17" s="11" t="s">
        <v>269</v>
      </c>
      <c r="D17" s="11" t="s">
        <v>219</v>
      </c>
      <c r="E17" s="11" t="s">
        <v>270</v>
      </c>
      <c r="F17" s="11" t="s">
        <v>198</v>
      </c>
      <c r="G17" s="6" t="s">
        <v>271</v>
      </c>
      <c r="H17" s="11"/>
      <c r="I17" s="11"/>
      <c r="J17" s="6" t="s">
        <v>272</v>
      </c>
    </row>
    <row r="18" customFormat="false" ht="15" hidden="false" customHeight="false" outlineLevel="0" collapsed="false">
      <c r="A18" s="11" t="s">
        <v>273</v>
      </c>
      <c r="B18" s="6" t="s">
        <v>94</v>
      </c>
      <c r="C18" s="11" t="s">
        <v>274</v>
      </c>
      <c r="D18" s="11" t="s">
        <v>219</v>
      </c>
      <c r="E18" s="11" t="s">
        <v>275</v>
      </c>
      <c r="F18" s="11" t="s">
        <v>198</v>
      </c>
      <c r="G18" s="6" t="s">
        <v>276</v>
      </c>
      <c r="H18" s="11"/>
      <c r="I18" s="11"/>
      <c r="J18" s="6" t="s">
        <v>277</v>
      </c>
    </row>
    <row r="19" customFormat="false" ht="23.85" hidden="false" customHeight="false" outlineLevel="0" collapsed="false">
      <c r="A19" s="11" t="s">
        <v>278</v>
      </c>
      <c r="B19" s="6" t="s">
        <v>94</v>
      </c>
      <c r="C19" s="11" t="s">
        <v>279</v>
      </c>
      <c r="D19" s="11" t="s">
        <v>280</v>
      </c>
      <c r="E19" s="11" t="s">
        <v>281</v>
      </c>
      <c r="F19" s="11" t="s">
        <v>198</v>
      </c>
      <c r="G19" s="6" t="s">
        <v>282</v>
      </c>
      <c r="H19" s="11"/>
      <c r="I19" s="11"/>
      <c r="J19" s="6" t="s">
        <v>283</v>
      </c>
    </row>
    <row r="20" customFormat="false" ht="23.85" hidden="false" customHeight="false" outlineLevel="0" collapsed="false">
      <c r="A20" s="11" t="s">
        <v>284</v>
      </c>
      <c r="B20" s="6" t="s">
        <v>285</v>
      </c>
      <c r="C20" s="11" t="s">
        <v>256</v>
      </c>
      <c r="D20" s="11" t="s">
        <v>286</v>
      </c>
      <c r="E20" s="11" t="s">
        <v>287</v>
      </c>
      <c r="F20" s="11" t="s">
        <v>198</v>
      </c>
      <c r="G20" s="6" t="s">
        <v>288</v>
      </c>
      <c r="H20" s="11"/>
      <c r="I20" s="11"/>
      <c r="J20" s="6" t="s">
        <v>289</v>
      </c>
    </row>
    <row r="21" customFormat="false" ht="23.85" hidden="false" customHeight="false" outlineLevel="0" collapsed="false">
      <c r="A21" s="11" t="s">
        <v>290</v>
      </c>
      <c r="B21" s="6" t="s">
        <v>75</v>
      </c>
      <c r="C21" s="11" t="s">
        <v>291</v>
      </c>
      <c r="D21" s="11" t="s">
        <v>292</v>
      </c>
      <c r="E21" s="11" t="s">
        <v>293</v>
      </c>
      <c r="F21" s="11" t="s">
        <v>198</v>
      </c>
      <c r="G21" s="6" t="s">
        <v>294</v>
      </c>
      <c r="H21" s="11"/>
      <c r="I21" s="11"/>
      <c r="J21" s="6" t="s">
        <v>295</v>
      </c>
    </row>
    <row r="22" customFormat="false" ht="23.85" hidden="false" customHeight="false" outlineLevel="0" collapsed="false">
      <c r="A22" s="11" t="s">
        <v>296</v>
      </c>
      <c r="B22" s="6" t="s">
        <v>75</v>
      </c>
      <c r="C22" s="11" t="s">
        <v>291</v>
      </c>
      <c r="D22" s="11" t="s">
        <v>297</v>
      </c>
      <c r="E22" s="11" t="s">
        <v>298</v>
      </c>
      <c r="F22" s="11" t="s">
        <v>198</v>
      </c>
      <c r="G22" s="6" t="s">
        <v>299</v>
      </c>
      <c r="H22" s="11"/>
      <c r="I22" s="11"/>
      <c r="J22" s="6" t="s">
        <v>300</v>
      </c>
    </row>
    <row r="24" customFormat="false" ht="15" hidden="false" customHeight="false" outlineLevel="0" collapsed="false">
      <c r="A24" s="3" t="s">
        <v>131</v>
      </c>
    </row>
    <row r="25" customFormat="false" ht="15" hidden="false" customHeight="false" outlineLevel="0" collapsed="false">
      <c r="A25" s="4" t="s">
        <v>32</v>
      </c>
      <c r="B25" s="4" t="s">
        <v>132</v>
      </c>
    </row>
    <row r="26" customFormat="false" ht="15" hidden="false" customHeight="false" outlineLevel="0" collapsed="false">
      <c r="A26" s="11" t="s">
        <v>198</v>
      </c>
      <c r="B26" s="12" t="n">
        <f aca="false">COUNTIF(F5:F22,"Not started")</f>
        <v>18</v>
      </c>
    </row>
    <row r="27" customFormat="false" ht="15" hidden="false" customHeight="false" outlineLevel="0" collapsed="false">
      <c r="A27" s="11" t="s">
        <v>301</v>
      </c>
      <c r="B27" s="12" t="n">
        <f aca="false">COUNTIF(F5:F22,"Researching")</f>
        <v>0</v>
      </c>
    </row>
    <row r="28" customFormat="false" ht="15" hidden="false" customHeight="false" outlineLevel="0" collapsed="false">
      <c r="A28" s="11" t="s">
        <v>302</v>
      </c>
      <c r="B28" s="12" t="n">
        <f aca="false">COUNTIF(F5:F22,"Contacted")</f>
        <v>0</v>
      </c>
    </row>
    <row r="29" customFormat="false" ht="15" hidden="false" customHeight="false" outlineLevel="0" collapsed="false">
      <c r="A29" s="11" t="s">
        <v>303</v>
      </c>
      <c r="B29" s="12" t="n">
        <f aca="false">COUNTIF(F5:F22,"In discussion")</f>
        <v>0</v>
      </c>
    </row>
    <row r="30" customFormat="false" ht="15" hidden="false" customHeight="false" outlineLevel="0" collapsed="false">
      <c r="A30" s="11" t="s">
        <v>304</v>
      </c>
      <c r="B30" s="12" t="n">
        <f aca="false">COUNTIF(F5:F22,"Applied")</f>
        <v>0</v>
      </c>
    </row>
    <row r="31" customFormat="false" ht="15" hidden="false" customHeight="false" outlineLevel="0" collapsed="false">
      <c r="A31" s="11" t="s">
        <v>305</v>
      </c>
      <c r="B31" s="12" t="n">
        <f aca="false">COUNTIF(F5:F22,"Awarded")</f>
        <v>0</v>
      </c>
    </row>
    <row r="32" customFormat="false" ht="15" hidden="false" customHeight="false" outlineLevel="0" collapsed="false">
      <c r="A32" s="11" t="s">
        <v>306</v>
      </c>
      <c r="B32" s="12" t="n">
        <f aca="false">COUNTIF(F5:F22,"Declined")</f>
        <v>0</v>
      </c>
    </row>
  </sheetData>
  <autoFilter ref="A4:J22"/>
  <conditionalFormatting sqref="F5:F22">
    <cfRule type="cellIs" priority="2" operator="equal" aboveAverage="0" equalAverage="0" bottom="0" percent="0" rank="0" text="" dxfId="8">
      <formula>"Not started"</formula>
    </cfRule>
    <cfRule type="cellIs" priority="3" operator="equal" aboveAverage="0" equalAverage="0" bottom="0" percent="0" rank="0" text="" dxfId="9">
      <formula>"Researching"</formula>
    </cfRule>
    <cfRule type="cellIs" priority="4" operator="equal" aboveAverage="0" equalAverage="0" bottom="0" percent="0" rank="0" text="" dxfId="9">
      <formula>"Contacted"</formula>
    </cfRule>
    <cfRule type="cellIs" priority="5" operator="equal" aboveAverage="0" equalAverage="0" bottom="0" percent="0" rank="0" text="" dxfId="9">
      <formula>"In discussion"</formula>
    </cfRule>
    <cfRule type="cellIs" priority="6" operator="equal" aboveAverage="0" equalAverage="0" bottom="0" percent="0" rank="0" text="" dxfId="10">
      <formula>"Applied"</formula>
    </cfRule>
    <cfRule type="cellIs" priority="7" operator="equal" aboveAverage="0" equalAverage="0" bottom="0" percent="0" rank="0" text="" dxfId="10">
      <formula>"Awarded"</formula>
    </cfRule>
  </conditionalFormatting>
  <dataValidations count="1">
    <dataValidation allowBlank="true" errorStyle="stop" operator="between" showDropDown="false" showErrorMessage="false" showInputMessage="false" sqref="F5:F22" type="list">
      <formula1>"Not started,Researching,Contacted,In discussion,Applied,Awarded,Declined,Not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4" customFormat="false" ht="15" hidden="false" customHeight="false" outlineLevel="0" collapsed="false">
      <c r="A4" s="4" t="s">
        <v>309</v>
      </c>
      <c r="B4" s="4" t="s">
        <v>310</v>
      </c>
      <c r="C4" s="4" t="s">
        <v>311</v>
      </c>
      <c r="D4" s="4" t="s">
        <v>312</v>
      </c>
      <c r="E4" s="4" t="s">
        <v>313</v>
      </c>
      <c r="F4" s="4" t="s">
        <v>314</v>
      </c>
      <c r="G4" s="4" t="s">
        <v>315</v>
      </c>
      <c r="H4" s="4" t="s">
        <v>316</v>
      </c>
      <c r="I4" s="4" t="s">
        <v>35</v>
      </c>
    </row>
    <row r="5" customFormat="false" ht="23.85" hidden="false" customHeight="false" outlineLevel="0" collapsed="false">
      <c r="A5" s="11" t="s">
        <v>106</v>
      </c>
      <c r="B5" s="11" t="s">
        <v>317</v>
      </c>
      <c r="C5" s="6" t="s">
        <v>318</v>
      </c>
      <c r="D5" s="6" t="s">
        <v>319</v>
      </c>
      <c r="E5" s="6" t="s">
        <v>320</v>
      </c>
      <c r="F5" s="11"/>
      <c r="G5" s="11"/>
      <c r="H5" s="11" t="s">
        <v>198</v>
      </c>
      <c r="I5" s="6" t="s">
        <v>321</v>
      </c>
    </row>
    <row r="6" customFormat="false" ht="15" hidden="false" customHeight="false" outlineLevel="0" collapsed="false">
      <c r="A6" s="11" t="s">
        <v>106</v>
      </c>
      <c r="B6" s="11" t="s">
        <v>322</v>
      </c>
      <c r="C6" s="6" t="s">
        <v>323</v>
      </c>
      <c r="D6" s="6" t="s">
        <v>319</v>
      </c>
      <c r="E6" s="6" t="s">
        <v>324</v>
      </c>
      <c r="F6" s="11"/>
      <c r="G6" s="11"/>
      <c r="H6" s="11" t="s">
        <v>198</v>
      </c>
      <c r="I6" s="6"/>
    </row>
    <row r="7" customFormat="false" ht="23.85" hidden="false" customHeight="false" outlineLevel="0" collapsed="false">
      <c r="A7" s="11" t="s">
        <v>106</v>
      </c>
      <c r="B7" s="11" t="s">
        <v>325</v>
      </c>
      <c r="C7" s="6" t="s">
        <v>326</v>
      </c>
      <c r="D7" s="6" t="s">
        <v>327</v>
      </c>
      <c r="E7" s="6" t="s">
        <v>328</v>
      </c>
      <c r="F7" s="11"/>
      <c r="G7" s="11"/>
      <c r="H7" s="11" t="s">
        <v>198</v>
      </c>
      <c r="I7" s="6"/>
    </row>
    <row r="8" customFormat="false" ht="15" hidden="false" customHeight="false" outlineLevel="0" collapsed="false">
      <c r="A8" s="11" t="s">
        <v>106</v>
      </c>
      <c r="B8" s="11" t="s">
        <v>329</v>
      </c>
      <c r="C8" s="6" t="s">
        <v>330</v>
      </c>
      <c r="D8" s="6" t="s">
        <v>319</v>
      </c>
      <c r="E8" s="6" t="s">
        <v>331</v>
      </c>
      <c r="F8" s="11"/>
      <c r="G8" s="11"/>
      <c r="H8" s="11" t="s">
        <v>198</v>
      </c>
      <c r="I8" s="6"/>
    </row>
    <row r="9" customFormat="false" ht="23.85" hidden="false" customHeight="false" outlineLevel="0" collapsed="false">
      <c r="A9" s="11" t="s">
        <v>106</v>
      </c>
      <c r="B9" s="11" t="s">
        <v>332</v>
      </c>
      <c r="C9" s="6" t="s">
        <v>333</v>
      </c>
      <c r="D9" s="6" t="s">
        <v>327</v>
      </c>
      <c r="E9" s="6" t="s">
        <v>334</v>
      </c>
      <c r="F9" s="11"/>
      <c r="G9" s="11"/>
      <c r="H9" s="11" t="s">
        <v>198</v>
      </c>
      <c r="I9" s="6"/>
    </row>
    <row r="10" customFormat="false" ht="23.85" hidden="false" customHeight="false" outlineLevel="0" collapsed="false">
      <c r="A10" s="11" t="s">
        <v>335</v>
      </c>
      <c r="B10" s="11" t="s">
        <v>336</v>
      </c>
      <c r="C10" s="6" t="s">
        <v>337</v>
      </c>
      <c r="D10" s="6" t="s">
        <v>319</v>
      </c>
      <c r="E10" s="6" t="s">
        <v>338</v>
      </c>
      <c r="F10" s="11"/>
      <c r="G10" s="11"/>
      <c r="H10" s="11" t="s">
        <v>198</v>
      </c>
      <c r="I10" s="6" t="s">
        <v>339</v>
      </c>
    </row>
    <row r="11" customFormat="false" ht="23.85" hidden="false" customHeight="false" outlineLevel="0" collapsed="false">
      <c r="A11" s="11" t="s">
        <v>335</v>
      </c>
      <c r="B11" s="11" t="s">
        <v>340</v>
      </c>
      <c r="C11" s="6" t="s">
        <v>341</v>
      </c>
      <c r="D11" s="6" t="s">
        <v>319</v>
      </c>
      <c r="E11" s="6" t="s">
        <v>342</v>
      </c>
      <c r="F11" s="11"/>
      <c r="G11" s="11"/>
      <c r="H11" s="11" t="s">
        <v>198</v>
      </c>
      <c r="I11" s="6"/>
    </row>
    <row r="12" customFormat="false" ht="23.85" hidden="false" customHeight="false" outlineLevel="0" collapsed="false">
      <c r="A12" s="11" t="s">
        <v>335</v>
      </c>
      <c r="B12" s="11" t="s">
        <v>343</v>
      </c>
      <c r="C12" s="6" t="s">
        <v>344</v>
      </c>
      <c r="D12" s="6" t="s">
        <v>345</v>
      </c>
      <c r="E12" s="6" t="s">
        <v>342</v>
      </c>
      <c r="F12" s="11"/>
      <c r="G12" s="11"/>
      <c r="H12" s="11" t="s">
        <v>198</v>
      </c>
      <c r="I12" s="6"/>
    </row>
    <row r="13" customFormat="false" ht="23.85" hidden="false" customHeight="false" outlineLevel="0" collapsed="false">
      <c r="A13" s="11" t="s">
        <v>335</v>
      </c>
      <c r="B13" s="11" t="s">
        <v>346</v>
      </c>
      <c r="C13" s="6" t="s">
        <v>347</v>
      </c>
      <c r="D13" s="6" t="s">
        <v>345</v>
      </c>
      <c r="E13" s="6" t="s">
        <v>342</v>
      </c>
      <c r="F13" s="11"/>
      <c r="G13" s="11"/>
      <c r="H13" s="11" t="s">
        <v>198</v>
      </c>
      <c r="I13" s="6"/>
    </row>
    <row r="14" customFormat="false" ht="23.85" hidden="false" customHeight="false" outlineLevel="0" collapsed="false">
      <c r="A14" s="11" t="s">
        <v>335</v>
      </c>
      <c r="B14" s="11" t="s">
        <v>348</v>
      </c>
      <c r="C14" s="6" t="s">
        <v>349</v>
      </c>
      <c r="D14" s="6" t="s">
        <v>280</v>
      </c>
      <c r="E14" s="6" t="s">
        <v>350</v>
      </c>
      <c r="F14" s="11"/>
      <c r="G14" s="11"/>
      <c r="H14" s="11" t="s">
        <v>198</v>
      </c>
      <c r="I14" s="6"/>
    </row>
    <row r="15" customFormat="false" ht="23.85" hidden="false" customHeight="false" outlineLevel="0" collapsed="false">
      <c r="A15" s="11" t="s">
        <v>351</v>
      </c>
      <c r="B15" s="11" t="s">
        <v>352</v>
      </c>
      <c r="C15" s="6" t="s">
        <v>353</v>
      </c>
      <c r="D15" s="6" t="s">
        <v>280</v>
      </c>
      <c r="E15" s="6" t="s">
        <v>354</v>
      </c>
      <c r="F15" s="11"/>
      <c r="G15" s="11"/>
      <c r="H15" s="11" t="s">
        <v>198</v>
      </c>
      <c r="I15" s="6" t="s">
        <v>355</v>
      </c>
    </row>
    <row r="16" customFormat="false" ht="23.85" hidden="false" customHeight="false" outlineLevel="0" collapsed="false">
      <c r="A16" s="11" t="s">
        <v>351</v>
      </c>
      <c r="B16" s="11" t="s">
        <v>356</v>
      </c>
      <c r="C16" s="6" t="s">
        <v>357</v>
      </c>
      <c r="D16" s="6" t="s">
        <v>327</v>
      </c>
      <c r="E16" s="6" t="s">
        <v>358</v>
      </c>
      <c r="F16" s="11"/>
      <c r="G16" s="11"/>
      <c r="H16" s="11" t="s">
        <v>198</v>
      </c>
      <c r="I16" s="6"/>
    </row>
    <row r="17" customFormat="false" ht="15" hidden="false" customHeight="false" outlineLevel="0" collapsed="false">
      <c r="A17" s="11" t="s">
        <v>351</v>
      </c>
      <c r="B17" s="11" t="s">
        <v>359</v>
      </c>
      <c r="C17" s="6" t="s">
        <v>360</v>
      </c>
      <c r="D17" s="6" t="s">
        <v>361</v>
      </c>
      <c r="E17" s="6" t="s">
        <v>362</v>
      </c>
      <c r="F17" s="11"/>
      <c r="G17" s="11"/>
      <c r="H17" s="11" t="s">
        <v>198</v>
      </c>
      <c r="I17" s="6"/>
    </row>
    <row r="18" customFormat="false" ht="23.85" hidden="false" customHeight="false" outlineLevel="0" collapsed="false">
      <c r="A18" s="11" t="s">
        <v>351</v>
      </c>
      <c r="B18" s="11" t="s">
        <v>363</v>
      </c>
      <c r="C18" s="6" t="s">
        <v>364</v>
      </c>
      <c r="D18" s="6" t="s">
        <v>365</v>
      </c>
      <c r="E18" s="6" t="s">
        <v>366</v>
      </c>
      <c r="F18" s="11"/>
      <c r="G18" s="11"/>
      <c r="H18" s="11" t="s">
        <v>198</v>
      </c>
      <c r="I18" s="6"/>
    </row>
    <row r="19" customFormat="false" ht="23.85" hidden="false" customHeight="false" outlineLevel="0" collapsed="false">
      <c r="A19" s="11" t="s">
        <v>351</v>
      </c>
      <c r="B19" s="11" t="s">
        <v>367</v>
      </c>
      <c r="C19" s="6" t="s">
        <v>368</v>
      </c>
      <c r="D19" s="6" t="s">
        <v>319</v>
      </c>
      <c r="E19" s="6" t="s">
        <v>342</v>
      </c>
      <c r="F19" s="11"/>
      <c r="G19" s="11"/>
      <c r="H19" s="11" t="s">
        <v>198</v>
      </c>
      <c r="I19" s="6"/>
    </row>
    <row r="20" customFormat="false" ht="23.85" hidden="false" customHeight="false" outlineLevel="0" collapsed="false">
      <c r="A20" s="11" t="s">
        <v>369</v>
      </c>
      <c r="B20" s="11" t="s">
        <v>370</v>
      </c>
      <c r="C20" s="6" t="s">
        <v>371</v>
      </c>
      <c r="D20" s="6" t="s">
        <v>327</v>
      </c>
      <c r="E20" s="6" t="s">
        <v>372</v>
      </c>
      <c r="F20" s="11"/>
      <c r="G20" s="11"/>
      <c r="H20" s="11" t="s">
        <v>198</v>
      </c>
      <c r="I20" s="6" t="s">
        <v>373</v>
      </c>
    </row>
    <row r="21" customFormat="false" ht="23.85" hidden="false" customHeight="false" outlineLevel="0" collapsed="false">
      <c r="A21" s="11" t="s">
        <v>369</v>
      </c>
      <c r="B21" s="11" t="s">
        <v>374</v>
      </c>
      <c r="C21" s="6" t="s">
        <v>375</v>
      </c>
      <c r="D21" s="6" t="s">
        <v>327</v>
      </c>
      <c r="E21" s="6" t="s">
        <v>376</v>
      </c>
      <c r="F21" s="11"/>
      <c r="G21" s="11"/>
      <c r="H21" s="11" t="s">
        <v>198</v>
      </c>
      <c r="I21" s="6"/>
    </row>
    <row r="22" customFormat="false" ht="15" hidden="false" customHeight="false" outlineLevel="0" collapsed="false">
      <c r="A22" s="11" t="s">
        <v>369</v>
      </c>
      <c r="B22" s="11" t="s">
        <v>377</v>
      </c>
      <c r="C22" s="6" t="s">
        <v>378</v>
      </c>
      <c r="D22" s="6" t="s">
        <v>319</v>
      </c>
      <c r="E22" s="6" t="s">
        <v>379</v>
      </c>
      <c r="F22" s="11"/>
      <c r="G22" s="11"/>
      <c r="H22" s="11" t="s">
        <v>198</v>
      </c>
      <c r="I22" s="6"/>
    </row>
    <row r="23" customFormat="false" ht="23.85" hidden="false" customHeight="false" outlineLevel="0" collapsed="false">
      <c r="A23" s="11" t="s">
        <v>369</v>
      </c>
      <c r="B23" s="11" t="s">
        <v>380</v>
      </c>
      <c r="C23" s="6" t="s">
        <v>381</v>
      </c>
      <c r="D23" s="6" t="s">
        <v>280</v>
      </c>
      <c r="E23" s="6" t="s">
        <v>354</v>
      </c>
      <c r="F23" s="11"/>
      <c r="G23" s="11"/>
      <c r="H23" s="11" t="s">
        <v>198</v>
      </c>
      <c r="I23" s="6"/>
    </row>
    <row r="24" customFormat="false" ht="23.85" hidden="false" customHeight="false" outlineLevel="0" collapsed="false">
      <c r="A24" s="11" t="s">
        <v>369</v>
      </c>
      <c r="B24" s="11" t="s">
        <v>382</v>
      </c>
      <c r="C24" s="6" t="s">
        <v>383</v>
      </c>
      <c r="D24" s="6" t="s">
        <v>319</v>
      </c>
      <c r="E24" s="6" t="s">
        <v>342</v>
      </c>
      <c r="F24" s="11"/>
      <c r="G24" s="11"/>
      <c r="H24" s="11" t="s">
        <v>198</v>
      </c>
      <c r="I24" s="6"/>
    </row>
    <row r="25" customFormat="false" ht="23.85" hidden="false" customHeight="false" outlineLevel="0" collapsed="false">
      <c r="A25" s="11" t="s">
        <v>384</v>
      </c>
      <c r="B25" s="11" t="s">
        <v>385</v>
      </c>
      <c r="C25" s="6" t="s">
        <v>386</v>
      </c>
      <c r="D25" s="6" t="s">
        <v>387</v>
      </c>
      <c r="E25" s="6" t="s">
        <v>388</v>
      </c>
      <c r="F25" s="11"/>
      <c r="G25" s="11"/>
      <c r="H25" s="11" t="s">
        <v>198</v>
      </c>
      <c r="I25" s="6" t="s">
        <v>389</v>
      </c>
    </row>
    <row r="26" customFormat="false" ht="15" hidden="false" customHeight="false" outlineLevel="0" collapsed="false">
      <c r="A26" s="11" t="s">
        <v>384</v>
      </c>
      <c r="B26" s="11" t="s">
        <v>390</v>
      </c>
      <c r="C26" s="6" t="s">
        <v>391</v>
      </c>
      <c r="D26" s="6" t="s">
        <v>327</v>
      </c>
      <c r="E26" s="6" t="s">
        <v>354</v>
      </c>
      <c r="F26" s="11"/>
      <c r="G26" s="11"/>
      <c r="H26" s="11" t="s">
        <v>198</v>
      </c>
      <c r="I26" s="6"/>
    </row>
    <row r="27" customFormat="false" ht="15" hidden="false" customHeight="false" outlineLevel="0" collapsed="false">
      <c r="A27" s="11" t="s">
        <v>384</v>
      </c>
      <c r="B27" s="11" t="s">
        <v>392</v>
      </c>
      <c r="C27" s="6" t="s">
        <v>393</v>
      </c>
      <c r="D27" s="6" t="s">
        <v>394</v>
      </c>
      <c r="E27" s="6" t="s">
        <v>395</v>
      </c>
      <c r="F27" s="11"/>
      <c r="G27" s="11"/>
      <c r="H27" s="11" t="s">
        <v>198</v>
      </c>
      <c r="I27" s="6"/>
    </row>
    <row r="28" customFormat="false" ht="15" hidden="false" customHeight="false" outlineLevel="0" collapsed="false">
      <c r="A28" s="11" t="s">
        <v>384</v>
      </c>
      <c r="B28" s="11" t="s">
        <v>396</v>
      </c>
      <c r="C28" s="6" t="s">
        <v>397</v>
      </c>
      <c r="D28" s="6" t="s">
        <v>280</v>
      </c>
      <c r="E28" s="6" t="s">
        <v>388</v>
      </c>
      <c r="F28" s="11"/>
      <c r="G28" s="11"/>
      <c r="H28" s="11" t="s">
        <v>198</v>
      </c>
      <c r="I28" s="6"/>
    </row>
    <row r="29" customFormat="false" ht="15" hidden="false" customHeight="false" outlineLevel="0" collapsed="false">
      <c r="A29" s="11" t="s">
        <v>384</v>
      </c>
      <c r="B29" s="11" t="s">
        <v>398</v>
      </c>
      <c r="C29" s="6" t="s">
        <v>399</v>
      </c>
      <c r="D29" s="6" t="s">
        <v>280</v>
      </c>
      <c r="E29" s="6" t="s">
        <v>400</v>
      </c>
      <c r="F29" s="11"/>
      <c r="G29" s="11"/>
      <c r="H29" s="11" t="s">
        <v>198</v>
      </c>
      <c r="I29" s="6"/>
    </row>
    <row r="31" customFormat="false" ht="15" hidden="false" customHeight="false" outlineLevel="0" collapsed="false">
      <c r="A31" s="3" t="s">
        <v>401</v>
      </c>
    </row>
    <row r="32" customFormat="false" ht="15" hidden="false" customHeight="false" outlineLevel="0" collapsed="false">
      <c r="A32" s="4" t="s">
        <v>309</v>
      </c>
      <c r="B32" s="4" t="s">
        <v>402</v>
      </c>
      <c r="C32" s="4" t="s">
        <v>403</v>
      </c>
      <c r="D32" s="4" t="s">
        <v>404</v>
      </c>
      <c r="E32" s="4" t="s">
        <v>198</v>
      </c>
    </row>
    <row r="33" customFormat="false" ht="15" hidden="false" customHeight="false" outlineLevel="0" collapsed="false">
      <c r="A33" s="11" t="s">
        <v>106</v>
      </c>
      <c r="B33" s="11" t="n">
        <f aca="false">COUNTIFS(A5:A29,A33,H5:H29,"On track")+COUNTIFS(A5:A29,A33,H5:H29,"Achieved")</f>
        <v>0</v>
      </c>
      <c r="C33" s="11" t="n">
        <f aca="false">COUNTIFS(A5:A29,A33,H5:H29,"At risk")</f>
        <v>0</v>
      </c>
      <c r="D33" s="11" t="n">
        <f aca="false">COUNTIFS(A5:A29,A33,H5:H29,"Off track")</f>
        <v>0</v>
      </c>
      <c r="E33" s="12" t="n">
        <f aca="false">COUNTIFS(A5:A29,A33,H5:H29,"Not started")</f>
        <v>5</v>
      </c>
    </row>
    <row r="34" customFormat="false" ht="15" hidden="false" customHeight="false" outlineLevel="0" collapsed="false">
      <c r="A34" s="11" t="s">
        <v>335</v>
      </c>
      <c r="B34" s="11" t="n">
        <f aca="false">COUNTIFS(A5:A29,A34,H5:H29,"On track")+COUNTIFS(A5:A29,A34,H5:H29,"Achieved")</f>
        <v>0</v>
      </c>
      <c r="C34" s="11" t="n">
        <f aca="false">COUNTIFS(A5:A29,A34,H5:H29,"At risk")</f>
        <v>0</v>
      </c>
      <c r="D34" s="11" t="n">
        <f aca="false">COUNTIFS(A5:A29,A34,H5:H29,"Off track")</f>
        <v>0</v>
      </c>
      <c r="E34" s="12" t="n">
        <f aca="false">COUNTIFS(A5:A29,A34,H5:H29,"Not started")</f>
        <v>5</v>
      </c>
    </row>
    <row r="35" customFormat="false" ht="15" hidden="false" customHeight="false" outlineLevel="0" collapsed="false">
      <c r="A35" s="11" t="s">
        <v>351</v>
      </c>
      <c r="B35" s="11" t="n">
        <f aca="false">COUNTIFS(A5:A29,A35,H5:H29,"On track")+COUNTIFS(A5:A29,A35,H5:H29,"Achieved")</f>
        <v>0</v>
      </c>
      <c r="C35" s="11" t="n">
        <f aca="false">COUNTIFS(A5:A29,A35,H5:H29,"At risk")</f>
        <v>0</v>
      </c>
      <c r="D35" s="11" t="n">
        <f aca="false">COUNTIFS(A5:A29,A35,H5:H29,"Off track")</f>
        <v>0</v>
      </c>
      <c r="E35" s="12" t="n">
        <f aca="false">COUNTIFS(A5:A29,A35,H5:H29,"Not started")</f>
        <v>5</v>
      </c>
    </row>
    <row r="36" customFormat="false" ht="15" hidden="false" customHeight="false" outlineLevel="0" collapsed="false">
      <c r="A36" s="11" t="s">
        <v>369</v>
      </c>
      <c r="B36" s="11" t="n">
        <f aca="false">COUNTIFS(A5:A29,A36,H5:H29,"On track")+COUNTIFS(A5:A29,A36,H5:H29,"Achieved")</f>
        <v>0</v>
      </c>
      <c r="C36" s="11" t="n">
        <f aca="false">COUNTIFS(A5:A29,A36,H5:H29,"At risk")</f>
        <v>0</v>
      </c>
      <c r="D36" s="11" t="n">
        <f aca="false">COUNTIFS(A5:A29,A36,H5:H29,"Off track")</f>
        <v>0</v>
      </c>
      <c r="E36" s="12" t="n">
        <f aca="false">COUNTIFS(A5:A29,A36,H5:H29,"Not started")</f>
        <v>5</v>
      </c>
    </row>
    <row r="37" customFormat="false" ht="15" hidden="false" customHeight="false" outlineLevel="0" collapsed="false">
      <c r="A37" s="11" t="s">
        <v>384</v>
      </c>
      <c r="B37" s="11" t="n">
        <f aca="false">COUNTIFS(A5:A29,A37,H5:H29,"On track")+COUNTIFS(A5:A29,A37,H5:H29,"Achieved")</f>
        <v>0</v>
      </c>
      <c r="C37" s="11" t="n">
        <f aca="false">COUNTIFS(A5:A29,A37,H5:H29,"At risk")</f>
        <v>0</v>
      </c>
      <c r="D37" s="11" t="n">
        <f aca="false">COUNTIFS(A5:A29,A37,H5:H29,"Off track")</f>
        <v>0</v>
      </c>
      <c r="E37" s="12" t="n">
        <f aca="false">COUNTIFS(A5:A29,A37,H5:H29,"Not started")</f>
        <v>5</v>
      </c>
    </row>
  </sheetData>
  <autoFilter ref="A4:I29"/>
  <conditionalFormatting sqref="H5:H29">
    <cfRule type="cellIs" priority="2" operator="equal" aboveAverage="0" equalAverage="0" bottom="0" percent="0" rank="0" text="" dxfId="13">
      <formula>"Not started"</formula>
    </cfRule>
    <cfRule type="cellIs" priority="3" operator="equal" aboveAverage="0" equalAverage="0" bottom="0" percent="0" rank="0" text="" dxfId="10">
      <formula>"On track"</formula>
    </cfRule>
    <cfRule type="cellIs" priority="4" operator="equal" aboveAverage="0" equalAverage="0" bottom="0" percent="0" rank="0" text="" dxfId="9">
      <formula>"At risk"</formula>
    </cfRule>
    <cfRule type="cellIs" priority="5" operator="equal" aboveAverage="0" equalAverage="0" bottom="0" percent="0" rank="0" text="" dxfId="8">
      <formula>"Off track"</formula>
    </cfRule>
    <cfRule type="cellIs" priority="6" operator="equal" aboveAverage="0" equalAverage="0" bottom="0" percent="0" rank="0" text="" dxfId="10">
      <formula>"Achieved"</formula>
    </cfRule>
  </conditionalFormatting>
  <dataValidations count="1">
    <dataValidation allowBlank="true" errorStyle="stop" operator="between" showDropDown="false" showErrorMessage="false" showInputMessage="false" sqref="H5:H29" type="list">
      <formula1>"Not started,On track,At risk,Off track,Achieved"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2026-09-26T19:47:07Z</dcterms:created>
  <dc:creator>openpyxl</dc:creator>
  <dc:description/>
  <dc:language>en-US</dc:language>
  <cp:lastModifiedBy/>
  <dcterms:modified xsi:type="dcterms:W3CDTF">2026-09-26T19:49:02Z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