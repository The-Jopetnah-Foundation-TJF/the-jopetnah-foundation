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dmin - Correspondence" sheetId="2" state="visible" r:id="rId4"/>
    <sheet name="Admin - Documents" sheetId="3" state="visible" r:id="rId5"/>
    <sheet name="Admin - Meeting Minutes" sheetId="4" state="visible" r:id="rId6"/>
    <sheet name="Admin - Assets" sheetId="5" state="visible" r:id="rId7"/>
    <sheet name="Finance - Budget vs Actual" sheetId="6" state="visible" r:id="rId8"/>
    <sheet name="Finance - Expense Log" sheetId="7" state="visible" r:id="rId9"/>
    <sheet name="Finance - Invoices &amp; Payments" sheetId="8" state="visible" r:id="rId10"/>
    <sheet name="IT - Equipment" sheetId="9" state="visible" r:id="rId11"/>
    <sheet name="IT - Accounts &amp; Access" sheetId="10" state="visible" r:id="rId12"/>
    <sheet name="IT - Support Log" sheetId="11" state="visible" r:id="rId13"/>
    <sheet name="Marketing - Content Calendar" sheetId="12" state="visible" r:id="rId14"/>
    <sheet name="Marketing - Campaigns" sheetId="13" state="visible" r:id="rId15"/>
    <sheet name="Marketing - Social Performance" sheetId="14" state="visible" r:id="rId16"/>
    <sheet name="Earned Income Tracker" sheetId="15" state="visible" r:id="rId17"/>
  </sheets>
  <definedNames>
    <definedName function="false" hidden="true" localSheetId="2" name="_xlnm._FilterDatabase" vbProcedure="false">'Admin - Documents'!$A$4:$H$18</definedName>
    <definedName function="false" hidden="true" localSheetId="14" name="_xlnm._FilterDatabase" vbProcedure="false">'Earned Income Tracker'!$A$4:$I$19</definedName>
    <definedName function="false" hidden="true" localSheetId="5" name="_xlnm._FilterDatabase" vbProcedure="false">'Finance - Budget vs Actual'!$A$4:$H$32</definedName>
    <definedName function="false" hidden="true" localSheetId="12" name="_xlnm._FilterDatabase" vbProcedure="false">'Marketing - Campaigns'!$A$4:$H$10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<sst xmlns="http://schemas.openxmlformats.org/spreadsheetml/2006/main" count="501" uniqueCount="333">
  <si>
    <t xml:space="preserve">TJF Departmental Operations Toolkit</t>
  </si>
  <si>
    <t xml:space="preserve">Working templates for Administration, Finance, IT, Marketing &amp; Communications, and Earned Income  |  v1.0, 27 September 2026</t>
  </si>
  <si>
    <t xml:space="preserve">How this differs from the Operations Toolkit</t>
  </si>
  <si>
    <t xml:space="preserve">The earlier TJF_Operations_Toolkit.xlsx tracks decisions and progress across the five programs (pillars + the Animal Health Initiative). This workbook is different: it gives each day-to-day department a working template for its own records, most of which don't exist yet because TJF is still founding-stage. Where a real fact already exists (a real account, a named event, a program budget category), it is pre-filled. Everywhere else is an honest, ready-to-use empty template — not invented data.</t>
  </si>
  <si>
    <t xml:space="preserve">What's in this workbook</t>
  </si>
  <si>
    <t xml:space="preserve">Department</t>
  </si>
  <si>
    <t xml:space="preserve">Sheet</t>
  </si>
  <si>
    <t xml:space="preserve">What it's for</t>
  </si>
  <si>
    <t xml:space="preserve">Status</t>
  </si>
  <si>
    <t xml:space="preserve">Administration</t>
  </si>
  <si>
    <t xml:space="preserve">Correspondence Log</t>
  </si>
  <si>
    <t xml:space="preserve">Incoming/outgoing letters, emails of record, official notices.</t>
  </si>
  <si>
    <t xml:space="preserve">Empty template</t>
  </si>
  <si>
    <t xml:space="preserve">Document Register</t>
  </si>
  <si>
    <t xml:space="preserve">Where key documents live and their version/approval status.</t>
  </si>
  <si>
    <t xml:space="preserve">Pre-filled with documents already produced</t>
  </si>
  <si>
    <t xml:space="preserve">Meeting Minutes Tracker</t>
  </si>
  <si>
    <t xml:space="preserve">One row per meeting: date, attendees, decisions, action items.</t>
  </si>
  <si>
    <t xml:space="preserve">Asset Register</t>
  </si>
  <si>
    <t xml:space="preserve">Physical and digital assets TJF owns or holds rights to.</t>
  </si>
  <si>
    <t xml:space="preserve">Pre-filled with known digital assets</t>
  </si>
  <si>
    <t xml:space="preserve">Finance</t>
  </si>
  <si>
    <t xml:space="preserve">Budget vs Actual</t>
  </si>
  <si>
    <t xml:space="preserve">Program and overhead budget lines against actual spend.</t>
  </si>
  <si>
    <t xml:space="preserve">Categories pre-filled from the 5 dossiers; amounts blank (none costed yet)</t>
  </si>
  <si>
    <t xml:space="preserve">Expense Log</t>
  </si>
  <si>
    <t xml:space="preserve">Every expense as it happens, with a running balance.</t>
  </si>
  <si>
    <t xml:space="preserve">Invoice &amp; Payment Tracker</t>
  </si>
  <si>
    <t xml:space="preserve">Money owed to TJF and money TJF owes.</t>
  </si>
  <si>
    <t xml:space="preserve">IT</t>
  </si>
  <si>
    <t xml:space="preserve">Equipment Inventory</t>
  </si>
  <si>
    <t xml:space="preserve">Laptops, phones, cameras and other hardware.</t>
  </si>
  <si>
    <t xml:space="preserve">Account &amp; Access Register</t>
  </si>
  <si>
    <t xml:space="preserve">Every login TJF depends on, and who holds the keys.</t>
  </si>
  <si>
    <t xml:space="preserve">Pre-filled with the 3 confirmed live accounts</t>
  </si>
  <si>
    <t xml:space="preserve">Support Issue Log</t>
  </si>
  <si>
    <t xml:space="preserve">IT problems as they come up, and how they were resolved.</t>
  </si>
  <si>
    <t xml:space="preserve">Marketing</t>
  </si>
  <si>
    <t xml:space="preserve">Content Calendar</t>
  </si>
  <si>
    <t xml:space="preserve">What's being published, where, and when.</t>
  </si>
  <si>
    <t xml:space="preserve">Campaign Tracker</t>
  </si>
  <si>
    <t xml:space="preserve">Named campaigns from the README, plus this session's real deliverables.</t>
  </si>
  <si>
    <t xml:space="preserve">Pre-filled with 3 named events + delivered work</t>
  </si>
  <si>
    <t xml:space="preserve">Social Performance Log</t>
  </si>
  <si>
    <t xml:space="preserve">Reach and engagement once social accounts are live.</t>
  </si>
  <si>
    <t xml:space="preserve">Earned Income</t>
  </si>
  <si>
    <t xml:space="preserve">Earned Income Tracker</t>
  </si>
  <si>
    <t xml:space="preserve">Fee-for-service and other non-grant, non-donation income.</t>
  </si>
  <si>
    <t xml:space="preserve">Pre-filled with the CAHW fee-tier model</t>
  </si>
  <si>
    <t xml:space="preserve">Ground rules</t>
  </si>
  <si>
    <t xml:space="preserve">•  Nothing here is invented. An empty template is a template, not a gap I've hidden — fill it in as things actually happen.</t>
  </si>
  <si>
    <t xml:space="preserve">•  Real figures (money, dates, names) only ever come from you. I have not entered a single financial transaction, asset purchase, or piece of correspondence, because none has been reported to me.</t>
  </si>
  <si>
    <t xml:space="preserve">•  This workbook is internal, same as the Operations Toolkit and the program dossiers. Keep it out of the public repository.</t>
  </si>
  <si>
    <t xml:space="preserve">•  As departments take shape (once pillar leads and any admin/finance/IT roles are filled — see the Recruitment Tracker in the Operations Toolkit), whoever owns each sheet should keep it current themselves rather than routing updates through Claude.</t>
  </si>
  <si>
    <t xml:space="preserve">Colour legend</t>
  </si>
  <si>
    <t xml:space="preserve">Yellow fill, blue text</t>
  </si>
  <si>
    <t xml:space="preserve">Fill in yourself</t>
  </si>
  <si>
    <t xml:space="preserve">Black text</t>
  </si>
  <si>
    <t xml:space="preserve">Pre-filled from real, already-documented facts</t>
  </si>
  <si>
    <t xml:space="preserve">Correspondence log</t>
  </si>
  <si>
    <t xml:space="preserve">One row per official letter, formal email, or notice sent or received. Not for routine internal chat.</t>
  </si>
  <si>
    <t xml:space="preserve">Date</t>
  </si>
  <si>
    <t xml:space="preserve">Direction</t>
  </si>
  <si>
    <t xml:space="preserve">From / To</t>
  </si>
  <si>
    <t xml:space="preserve">Subject</t>
  </si>
  <si>
    <t xml:space="preserve">Method</t>
  </si>
  <si>
    <t xml:space="preserve">Related to</t>
  </si>
  <si>
    <t xml:space="preserve">Filed at (link/path)</t>
  </si>
  <si>
    <t xml:space="preserve">Logged by</t>
  </si>
  <si>
    <t xml:space="preserve">2026-09-20</t>
  </si>
  <si>
    <t xml:space="preserve">Outgoing</t>
  </si>
  <si>
    <t xml:space="preserve">District Health Office (example)</t>
  </si>
  <si>
    <t xml:space="preserve">Example: introductory letter re: Animal Health Initiative</t>
  </si>
  <si>
    <t xml:space="preserve">Email</t>
  </si>
  <si>
    <t xml:space="preserve">Animal Health Initiative</t>
  </si>
  <si>
    <t xml:space="preserve">communications/correspondence/</t>
  </si>
  <si>
    <t xml:space="preserve">EXAMPLE — delete this row</t>
  </si>
  <si>
    <t xml:space="preserve">Document register</t>
  </si>
  <si>
    <t xml:space="preserve">Where TJF's key documents live, their version, and approval status.</t>
  </si>
  <si>
    <t xml:space="preserve">Document</t>
  </si>
  <si>
    <t xml:space="preserve">Category</t>
  </si>
  <si>
    <t xml:space="preserve">Location / path</t>
  </si>
  <si>
    <t xml:space="preserve">Version</t>
  </si>
  <si>
    <t xml:space="preserve">Approved by</t>
  </si>
  <si>
    <t xml:space="preserve">Date approved</t>
  </si>
  <si>
    <t xml:space="preserve">Review due</t>
  </si>
  <si>
    <t xml:space="preserve">TJF_Governance_Bundle_FINAL.pdf (Constitution, Board Charter, Conflict of Interest, Whistleblower, Safeguarding policies)</t>
  </si>
  <si>
    <t xml:space="preserve">Governance</t>
  </si>
  <si>
    <t xml:space="preserve">governance/</t>
  </si>
  <si>
    <t xml:space="preserve">Final</t>
  </si>
  <si>
    <t xml:space="preserve">Approved</t>
  </si>
  <si>
    <t xml:space="preserve">Founding Board of Trustees</t>
  </si>
  <si>
    <t xml:space="preserve">communications/README.md (Communications, Branding &amp; PR framework)</t>
  </si>
  <si>
    <t xml:space="preserve">Communications</t>
  </si>
  <si>
    <t xml:space="preserve">communications/</t>
  </si>
  <si>
    <t xml:space="preserve">Current</t>
  </si>
  <si>
    <t xml:space="preserve">donor-resources/GRANTS_CALENDAR.md</t>
  </si>
  <si>
    <t xml:space="preserve">Fundraising</t>
  </si>
  <si>
    <t xml:space="preserve">donor-resources/</t>
  </si>
  <si>
    <t xml:space="preserve">Jopetnah_Donor_Pitch_Deck.pptx</t>
  </si>
  <si>
    <t xml:space="preserve">media/</t>
  </si>
  <si>
    <t xml:space="preserve">TJF_Program_Dossier: Health &amp; Wellbeing pilot</t>
  </si>
  <si>
    <t xml:space="preserve">Program</t>
  </si>
  <si>
    <t xml:space="preserve">Internal (not in public repo)</t>
  </si>
  <si>
    <t xml:space="preserve">v0.2</t>
  </si>
  <si>
    <t xml:space="preserve">Draft</t>
  </si>
  <si>
    <t xml:space="preserve">TJF_Program_Dossier: Environment &amp; Community Development pilot</t>
  </si>
  <si>
    <t xml:space="preserve">v0.1</t>
  </si>
  <si>
    <t xml:space="preserve">TJF_Program_Dossier: Poverty Alleviation &amp; Livelihoods pilot</t>
  </si>
  <si>
    <t xml:space="preserve">TJF_Program_Dossier: Education &amp; Youth Development pilot</t>
  </si>
  <si>
    <t xml:space="preserve">Jopetnah Animal Health Initiative: consolidated planning pack</t>
  </si>
  <si>
    <t xml:space="preserve">v1.0</t>
  </si>
  <si>
    <t xml:space="preserve">TJF_Pilot_Goals_Decision_Sheet.docx</t>
  </si>
  <si>
    <t xml:space="preserve">Superseded</t>
  </si>
  <si>
    <t xml:space="preserve">Claude / leadership</t>
  </si>
  <si>
    <t xml:space="preserve">2026-09-21</t>
  </si>
  <si>
    <t xml:space="preserve">TJF_District_Scoring_Worksheet.xlsx</t>
  </si>
  <si>
    <t xml:space="preserve">Decision recorded</t>
  </si>
  <si>
    <t xml:space="preserve">Leadership</t>
  </si>
  <si>
    <t xml:space="preserve">2026-09-25</t>
  </si>
  <si>
    <t xml:space="preserve">Jopetnah_AHI_Mini_Brand_Guide.pdf</t>
  </si>
  <si>
    <t xml:space="preserve">Brand</t>
  </si>
  <si>
    <t xml:space="preserve">tjf-brand-assets/animal-health-initiative/</t>
  </si>
  <si>
    <t xml:space="preserve">Draft — pending leadership sign-off</t>
  </si>
  <si>
    <t xml:space="preserve">TJF_Operations_Toolkit.xlsx</t>
  </si>
  <si>
    <t xml:space="preserve">Operations</t>
  </si>
  <si>
    <t xml:space="preserve">Active</t>
  </si>
  <si>
    <t xml:space="preserve">TJF_Departmental_Operations_Toolkit.xlsx (this workbook)</t>
  </si>
  <si>
    <t xml:space="preserve">Meeting minutes tracker</t>
  </si>
  <si>
    <t xml:space="preserve">One row per meeting. Keep full minutes elsewhere (e.g. a Doc) and link them here.</t>
  </si>
  <si>
    <t xml:space="preserve">Meeting</t>
  </si>
  <si>
    <t xml:space="preserve">Attendees</t>
  </si>
  <si>
    <t xml:space="preserve">Key decisions</t>
  </si>
  <si>
    <t xml:space="preserve">Action items (owner — due)</t>
  </si>
  <si>
    <t xml:space="preserve">Minutes link</t>
  </si>
  <si>
    <t xml:space="preserve">Next meeting</t>
  </si>
  <si>
    <t xml:space="preserve">2026-09-XX</t>
  </si>
  <si>
    <t xml:space="preserve">Example: Founding Board planning session</t>
  </si>
  <si>
    <t xml:space="preserve">Example names</t>
  </si>
  <si>
    <t xml:space="preserve">Example: approved Option B pilot goals</t>
  </si>
  <si>
    <t xml:space="preserve">Example: X to confirm district — 2026-10-15</t>
  </si>
  <si>
    <t xml:space="preserve">communications/minutes/</t>
  </si>
  <si>
    <t xml:space="preserve">Asset register</t>
  </si>
  <si>
    <t xml:space="preserve">Physical and digital assets TJF owns or holds rights to. IT hardware has its own, more detailed sheet.</t>
  </si>
  <si>
    <t xml:space="preserve">Asset</t>
  </si>
  <si>
    <t xml:space="preserve">Type</t>
  </si>
  <si>
    <t xml:space="preserve">Owner / custodian</t>
  </si>
  <si>
    <t xml:space="preserve">Location</t>
  </si>
  <si>
    <t xml:space="preserve">Value (if known)</t>
  </si>
  <si>
    <t xml:space="preserve">Acquired</t>
  </si>
  <si>
    <t xml:space="preserve">Notes</t>
  </si>
  <si>
    <t xml:space="preserve">the-jopetnah-foundation GitHub repository</t>
  </si>
  <si>
    <t xml:space="preserve">Digital / IP</t>
  </si>
  <si>
    <t xml:space="preserve">The Jopetnah Foundation</t>
  </si>
  <si>
    <t xml:space="preserve">github.com/The-Jopetnah-Foundation-TJF</t>
  </si>
  <si>
    <t xml:space="preserve">Public repo — site source, README, governance docs</t>
  </si>
  <si>
    <t xml:space="preserve">TJF public website (GitHub Pages)</t>
  </si>
  <si>
    <t xml:space="preserve">the-jopetnah-foundation-tjf.github.io/the-jopetnah-foundation</t>
  </si>
  <si>
    <t xml:space="preserve">AHI brand mark and lockups (SVG/PNG set)</t>
  </si>
  <si>
    <t xml:space="preserve">Draft — pending sign-off</t>
  </si>
  <si>
    <t xml:space="preserve">Not yet committed to the public repo</t>
  </si>
  <si>
    <t xml:space="preserve">TJF four-petal logo</t>
  </si>
  <si>
    <t xml:space="preserve">Used site-wide; source file held internally</t>
  </si>
  <si>
    <t xml:space="preserve">Budget vs actual</t>
  </si>
  <si>
    <t xml:space="preserve">Program categories are pulled from the 5 dossiers' own budget structures (all still uncosted). Overhead categories are standard nonprofit lines. Amounts are blank until real quotations exist — do not estimate to fill the gap.</t>
  </si>
  <si>
    <t xml:space="preserve">Program / Area</t>
  </si>
  <si>
    <t xml:space="preserve">Budget category</t>
  </si>
  <si>
    <t xml:space="preserve">Budgeted (USD)</t>
  </si>
  <si>
    <t xml:space="preserve">Actual (USD)</t>
  </si>
  <si>
    <t xml:space="preserve">Variance</t>
  </si>
  <si>
    <t xml:space="preserve">% used</t>
  </si>
  <si>
    <t xml:space="preserve">Period</t>
  </si>
  <si>
    <t xml:space="preserve">Personnel &amp; coordination</t>
  </si>
  <si>
    <t xml:space="preserve">FY26</t>
  </si>
  <si>
    <t xml:space="preserve">Vaccines, drugs &amp; cold chain</t>
  </si>
  <si>
    <t xml:space="preserve">CAHW training &amp; equipment</t>
  </si>
  <si>
    <t xml:space="preserve">Campaign operations &amp; logistics</t>
  </si>
  <si>
    <t xml:space="preserve">Education &amp; awareness materials</t>
  </si>
  <si>
    <t xml:space="preserve">Baseline, M&amp;E &amp; learning</t>
  </si>
  <si>
    <t xml:space="preserve">Partnerships, regulatory &amp; admin</t>
  </si>
  <si>
    <t xml:space="preserve">Health (Community Health Champions)</t>
  </si>
  <si>
    <t xml:space="preserve">Champion training</t>
  </si>
  <si>
    <t xml:space="preserve">Champion support (transport, incentives)</t>
  </si>
  <si>
    <t xml:space="preserve">Supervision &amp; coordination</t>
  </si>
  <si>
    <t xml:space="preserve">Baseline &amp; endline surveys</t>
  </si>
  <si>
    <t xml:space="preserve">Environment (Green Neighborhoods + WASH)</t>
  </si>
  <si>
    <t xml:space="preserve">Seedlings &amp; nursery</t>
  </si>
  <si>
    <t xml:space="preserve">Planting &amp; protection</t>
  </si>
  <si>
    <t xml:space="preserve">Borehole assessment &amp; repair</t>
  </si>
  <si>
    <t xml:space="preserve">Water quality testing</t>
  </si>
  <si>
    <t xml:space="preserve">Livelihoods (Cooperative Savings Circles)</t>
  </si>
  <si>
    <t xml:space="preserve">Savings-group training partner</t>
  </si>
  <si>
    <t xml:space="preserve">Group kits</t>
  </si>
  <si>
    <t xml:space="preserve">Grant pool (seed micro-grants)</t>
  </si>
  <si>
    <t xml:space="preserve">Education (Jopetnah Scholars + Future-Ready Lab)</t>
  </si>
  <si>
    <t xml:space="preserve">Sponsorship costs</t>
  </si>
  <si>
    <t xml:space="preserve">Hub equipment &amp; power</t>
  </si>
  <si>
    <t xml:space="preserve">Mentoring &amp; learning support</t>
  </si>
  <si>
    <t xml:space="preserve">Overhead</t>
  </si>
  <si>
    <t xml:space="preserve">Staff salaries</t>
  </si>
  <si>
    <t xml:space="preserve">Rent &amp; utilities</t>
  </si>
  <si>
    <t xml:space="preserve">Insurance</t>
  </si>
  <si>
    <t xml:space="preserve">Professional fees (audit, legal, incorporation)</t>
  </si>
  <si>
    <t xml:space="preserve">Includes final-stage registration costs</t>
  </si>
  <si>
    <t xml:space="preserve">Bank &amp; transaction fees</t>
  </si>
  <si>
    <t xml:space="preserve">Travel &amp; transport</t>
  </si>
  <si>
    <t xml:space="preserve">Office supplies &amp; communications</t>
  </si>
  <si>
    <t xml:space="preserve">Total</t>
  </si>
  <si>
    <t xml:space="preserve">Expense log</t>
  </si>
  <si>
    <t xml:space="preserve">Every expense as it happens. Running balance assumes rows are entered in date order.</t>
  </si>
  <si>
    <t xml:space="preserve">Description</t>
  </si>
  <si>
    <t xml:space="preserve">Amount (USD)</t>
  </si>
  <si>
    <t xml:space="preserve">Payment method</t>
  </si>
  <si>
    <t xml:space="preserve">Paid to</t>
  </si>
  <si>
    <t xml:space="preserve">Receipt / ref</t>
  </si>
  <si>
    <t xml:space="preserve">Running total</t>
  </si>
  <si>
    <t xml:space="preserve">Mobile money</t>
  </si>
  <si>
    <t xml:space="preserve">Invoice &amp; payment tracker</t>
  </si>
  <si>
    <t xml:space="preserve">Money owed to TJF (e.g. a grant instalment) and money TJF owes (e.g. a partner invoice), in one place.</t>
  </si>
  <si>
    <t xml:space="preserve">Counterparty</t>
  </si>
  <si>
    <t xml:space="preserve">Invoice date</t>
  </si>
  <si>
    <t xml:space="preserve">Due date</t>
  </si>
  <si>
    <t xml:space="preserve">Paid date</t>
  </si>
  <si>
    <t xml:space="preserve">Equipment inventory</t>
  </si>
  <si>
    <t xml:space="preserve">Laptops, phones, cameras and other hardware TJF owns or has on loan.</t>
  </si>
  <si>
    <t xml:space="preserve">Item</t>
  </si>
  <si>
    <t xml:space="preserve">Serial / asset tag</t>
  </si>
  <si>
    <t xml:space="preserve">Assigned to</t>
  </si>
  <si>
    <t xml:space="preserve">Purchase date</t>
  </si>
  <si>
    <t xml:space="preserve">Value (USD)</t>
  </si>
  <si>
    <t xml:space="preserve">Account &amp; access register</t>
  </si>
  <si>
    <t xml:space="preserve">Every login TJF depends on. The three below are confirmed live from the site and repo; add every other service as it's set up.</t>
  </si>
  <si>
    <t xml:space="preserve">Service</t>
  </si>
  <si>
    <t xml:space="preserve">Purpose</t>
  </si>
  <si>
    <t xml:space="preserve">Account / username</t>
  </si>
  <si>
    <t xml:space="preserve">Admin owner</t>
  </si>
  <si>
    <t xml:space="preserve">Others with access</t>
  </si>
  <si>
    <t xml:space="preserve">2FA enabled?</t>
  </si>
  <si>
    <t xml:space="preserve">Last reviewed</t>
  </si>
  <si>
    <t xml:space="preserve">GitHub — The-Jopetnah-Foundation-TJF</t>
  </si>
  <si>
    <t xml:space="preserve">Source of truth for the website, README, governance docs, brand assets</t>
  </si>
  <si>
    <t xml:space="preserve">Public repository</t>
  </si>
  <si>
    <t xml:space="preserve">GitHub Pages</t>
  </si>
  <si>
    <t xml:space="preserve">Hosts the public website</t>
  </si>
  <si>
    <t xml:space="preserve">N/A</t>
  </si>
  <si>
    <t xml:space="preserve">Deploys automatically from the repo</t>
  </si>
  <si>
    <t xml:space="preserve">Gmail — thejopetnahfoundation@gmail.com</t>
  </si>
  <si>
    <t xml:space="preserve">Primary contact address (interim, per the site's own note)</t>
  </si>
  <si>
    <t xml:space="preserve">thejopetnahfoundation@gmail.com</t>
  </si>
  <si>
    <t xml:space="preserve">Marked "interim" on the site — replace once a permanent domain/email exists</t>
  </si>
  <si>
    <t xml:space="preserve">Support issue log</t>
  </si>
  <si>
    <t xml:space="preserve">IT problems as they come up.</t>
  </si>
  <si>
    <t xml:space="preserve">Date reported</t>
  </si>
  <si>
    <t xml:space="preserve">Reported by</t>
  </si>
  <si>
    <t xml:space="preserve">Issue</t>
  </si>
  <si>
    <t xml:space="preserve">Affected service/asset</t>
  </si>
  <si>
    <t xml:space="preserve">Priority</t>
  </si>
  <si>
    <t xml:space="preserve">Resolved date</t>
  </si>
  <si>
    <t xml:space="preserve">Resolution notes</t>
  </si>
  <si>
    <t xml:space="preserve">Content calendar</t>
  </si>
  <si>
    <t xml:space="preserve">What's being published, where, and when. One row per piece of content.</t>
  </si>
  <si>
    <t xml:space="preserve">Title / topic</t>
  </si>
  <si>
    <t xml:space="preserve">Channel</t>
  </si>
  <si>
    <t xml:space="preserve">Content type</t>
  </si>
  <si>
    <t xml:space="preserve">Linked campaign</t>
  </si>
  <si>
    <t xml:space="preserve">Owner</t>
  </si>
  <si>
    <t xml:space="preserve">Link once live</t>
  </si>
  <si>
    <t xml:space="preserve">2026-09-28</t>
  </si>
  <si>
    <t xml:space="preserve">World Rabies Day square post</t>
  </si>
  <si>
    <t xml:space="preserve">Instagram / Facebook / X / LinkedIn</t>
  </si>
  <si>
    <t xml:space="preserve">Social post</t>
  </si>
  <si>
    <t xml:space="preserve">World Rabies Day 2026</t>
  </si>
  <si>
    <t xml:space="preserve">Published</t>
  </si>
  <si>
    <t xml:space="preserve">Claude (drafted) / TJF (posted)</t>
  </si>
  <si>
    <t xml:space="preserve">Campaign tracker</t>
  </si>
  <si>
    <t xml:space="preserve">The three named campaigns already defined in the README, plus real deliverables produced this session.</t>
  </si>
  <si>
    <t xml:space="preserve">Campaign</t>
  </si>
  <si>
    <t xml:space="preserve">Goal</t>
  </si>
  <si>
    <t xml:space="preserve">Start</t>
  </si>
  <si>
    <t xml:space="preserve">End</t>
  </si>
  <si>
    <t xml:space="preserve">Jopetnah Day (Annual 48-Hour Digital Giving Blitz)</t>
  </si>
  <si>
    <t xml:space="preserve">Fundraising event</t>
  </si>
  <si>
    <t xml:space="preserve">200+ new monthly recurring donors in Year 1</t>
  </si>
  <si>
    <t xml:space="preserve">Planned</t>
  </si>
  <si>
    <t xml:space="preserve">8-week runway defined in README: matching-gift sponsor → 15–20 Ambassadors → #OneJopetnah story series → landing page with live counter → 48-hour push → thank-yous</t>
  </si>
  <si>
    <t xml:space="preserve">The Jopetnah Gala (Annual Flagship Dinner)</t>
  </si>
  <si>
    <t xml:space="preserve">Secure/renew 3–5 anchor corporate sponsors; convert mid-level donors to Founder's Circle</t>
  </si>
  <si>
    <t xml:space="preserve">16-week runway defined in README. Tiers: Presenting, Gold, Silver, Community Table</t>
  </si>
  <si>
    <t xml:space="preserve">Send Home Hope (Diaspora Giving Circle)</t>
  </si>
  <si>
    <t xml:space="preserve">Recurring giving program</t>
  </si>
  <si>
    <t xml:space="preserve">Convert diaspora pull into recurring monthly gifts</t>
  </si>
  <si>
    <t xml:space="preserve">Tiers: Seedling $15, Rooted $40, Grove $100, Elder $250+</t>
  </si>
  <si>
    <t xml:space="preserve">Awareness campaign</t>
  </si>
  <si>
    <t xml:space="preserve">Awareness-only launch of the Animal Health Initiative; no donation ask</t>
  </si>
  <si>
    <t xml:space="preserve">Delivered</t>
  </si>
  <si>
    <t xml:space="preserve">Claude (assets) / TJF (posting)</t>
  </si>
  <si>
    <t xml:space="preserve">Square post + captions for Instagram/Facebook, X, LinkedIn produced. Confirm actual posting.</t>
  </si>
  <si>
    <t xml:space="preserve">Site refresh: Animal Health Initiative page + program pathway goals</t>
  </si>
  <si>
    <t xml:space="preserve">Website / positioning</t>
  </si>
  <si>
    <t xml:space="preserve">Publish the Animal Health Initiative and align all 4 pillar Year-1 goals with evidence</t>
  </si>
  <si>
    <t xml:space="preserve">2026-09-22</t>
  </si>
  <si>
    <t xml:space="preserve">Claude / TJF</t>
  </si>
  <si>
    <t xml:space="preserve">animal-health.html, README, programs.html patches committed</t>
  </si>
  <si>
    <t xml:space="preserve">Elevator pitch &amp; key-messaging rollout</t>
  </si>
  <si>
    <t xml:space="preserve">Brand consistency</t>
  </si>
  <si>
    <t xml:space="preserve">One consistent org promise ("stability, opportunity, and lasting resilience") across site + comms README</t>
  </si>
  <si>
    <t xml:space="preserve">index.html, about.html, communications/README.md updated</t>
  </si>
  <si>
    <t xml:space="preserve">Social performance log</t>
  </si>
  <si>
    <t xml:space="preserve">Reach and engagement, logged periodically once social accounts are live. TJF's accounts are not yet confirmed live anywhere in the repo.</t>
  </si>
  <si>
    <t xml:space="preserve">Platform</t>
  </si>
  <si>
    <t xml:space="preserve">Followers</t>
  </si>
  <si>
    <t xml:space="preserve">Posts this period</t>
  </si>
  <si>
    <t xml:space="preserve">Reach / impressions</t>
  </si>
  <si>
    <t xml:space="preserve">Engagements</t>
  </si>
  <si>
    <t xml:space="preserve">Top post</t>
  </si>
  <si>
    <t xml:space="preserve">Earned income tracker</t>
  </si>
  <si>
    <t xml:space="preserve">Fee-for-service and other non-grant, non-donation income — distinct from the Donor CRM (grants/major gifts) and the Campaign Tracker (fundraising events). The only earned-income model in any dossier so far is the CAHW fee tier structure below.</t>
  </si>
  <si>
    <t xml:space="preserve">Income source</t>
  </si>
  <si>
    <t xml:space="preserve">Pricing model</t>
  </si>
  <si>
    <t xml:space="preserve">Projected volume</t>
  </si>
  <si>
    <t xml:space="preserve">Projected revenue (USD)</t>
  </si>
  <si>
    <t xml:space="preserve">Actual revenue (USD)</t>
  </si>
  <si>
    <t xml:space="preserve">Rabies vaccination (CAHW-delivered)</t>
  </si>
  <si>
    <t xml:space="preserve">Free to the household (not earned income — subsidised)</t>
  </si>
  <si>
    <t xml:space="preserve">Kept free deliberately, to protect coverage; listed here for completeness against the CAHW pricing tiers</t>
  </si>
  <si>
    <t xml:space="preserve">Deworming &amp; basic animal treatment (CAHW-delivered)</t>
  </si>
  <si>
    <t xml:space="preserve">Low-cost, fee-for-service</t>
  </si>
  <si>
    <t xml:space="preserve">Builds trust and steady CAHW income, per the dossier</t>
  </si>
  <si>
    <t xml:space="preserve">Other animal-health services incl. livestock-related work (CAHW-delivered)</t>
  </si>
  <si>
    <t xml:space="preserve">Market rate for households able to pay</t>
  </si>
  <si>
    <t xml:space="preserve">Sustains the CAHW's own livelihood — income accrues to the CAHW, not directly to TJF; track separately if TJF takes any share</t>
  </si>
  <si>
    <t xml:space="preserve">Note</t>
  </si>
  <si>
    <t xml:space="preserve">No other program dossier (Health, Environment, Livelihoods, Education) includes a direct earned-income line for TJF itself. The Livelihoods pillar's savings groups and micro-grants generate income for members' own businesses, not for TJF, so they belong in that program's own tracking, not here. Add a row above if TJF establishes a genuine earned-income stream (e.g. a paid training, a social enterprise, merchandise) — none exists yet.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</si>
</sst>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F4A31"/>
      <name val="Arial"/>
      <family val="0"/>
      <charset val="1"/>
    </font>
    <font>
      <i val="true"/>
      <sz val="9"/>
      <color rgb="FF6B5B4E"/>
      <name val="Arial"/>
      <family val="0"/>
      <charset val="1"/>
    </font>
    <font>
      <b val="true"/>
      <sz val="11"/>
      <color rgb="FF3221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3E9D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2211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E9DC"/>
        <bgColor rgb="FFE3E3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DBE"/>
      </left>
      <right style="thin">
        <color rgb="FFD9CDBE"/>
      </right>
      <top style="thin">
        <color rgb="FFD9CDBE"/>
      </top>
      <bottom style="thin">
        <color rgb="FFD9CD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221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E9DC"/>
          <bgColor rgb="FF000000"/>
        </patternFill>
      </fill>
    </dxf>
    <dxf>
      <fill>
        <patternFill patternType="solid">
          <fgColor rgb="FFC9DFC4"/>
          <bgColor rgb="FF000000"/>
        </patternFill>
      </fill>
    </dxf>
    <dxf>
      <fill>
        <patternFill patternType="solid">
          <fgColor rgb="FFFFE8A3"/>
          <bgColor rgb="FF000000"/>
        </patternFill>
      </fill>
    </dxf>
    <dxf>
      <fill>
        <patternFill>
          <bgColor rgb="FFFFE8A3"/>
        </patternFill>
      </fill>
    </dxf>
    <dxf>
      <fill>
        <patternFill>
          <bgColor rgb="FFC9DFC4"/>
        </patternFill>
      </fill>
    </dxf>
    <dxf>
      <fill>
        <patternFill>
          <bgColor rgb="FFF4C7C3"/>
        </patternFill>
      </fill>
    </dxf>
    <dxf>
      <fill>
        <patternFill>
          <bgColor rgb="FFE3E3E3"/>
        </patternFill>
      </fill>
    </dxf>
    <dxf>
      <fill>
        <patternFill patternType="solid">
          <fgColor rgb="FFE3E3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DBE"/>
      <rgbColor rgb="FF808080"/>
      <rgbColor rgb="FF9999FF"/>
      <rgbColor rgb="FF993366"/>
      <rgbColor rgb="FFF3E9D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DFC4"/>
      <rgbColor rgb="FFFFE8A3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B5B4E"/>
      <rgbColor rgb="FF969696"/>
      <rgbColor rgb="FF003366"/>
      <rgbColor rgb="FF339966"/>
      <rgbColor rgb="FF003300"/>
      <rgbColor rgb="FF333300"/>
      <rgbColor rgb="FF8F4A31"/>
      <rgbColor rgb="FF993366"/>
      <rgbColor rgb="FF333399"/>
      <rgbColor rgb="FF32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9.75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30" hidden="false" customHeight="true" outlineLevel="0" collapsed="false">
      <c r="A9" s="6" t="s">
        <v>9</v>
      </c>
      <c r="B9" s="7" t="s">
        <v>10</v>
      </c>
      <c r="C9" s="8" t="s">
        <v>11</v>
      </c>
      <c r="D9" s="9" t="s">
        <v>12</v>
      </c>
    </row>
    <row r="10" customFormat="false" ht="30" hidden="false" customHeight="true" outlineLevel="0" collapsed="false">
      <c r="A10" s="6" t="s">
        <v>9</v>
      </c>
      <c r="B10" s="7" t="s">
        <v>13</v>
      </c>
      <c r="C10" s="8" t="s">
        <v>14</v>
      </c>
      <c r="D10" s="9" t="s">
        <v>15</v>
      </c>
    </row>
    <row r="11" customFormat="false" ht="30" hidden="false" customHeight="true" outlineLevel="0" collapsed="false">
      <c r="A11" s="6" t="s">
        <v>9</v>
      </c>
      <c r="B11" s="7" t="s">
        <v>16</v>
      </c>
      <c r="C11" s="8" t="s">
        <v>17</v>
      </c>
      <c r="D11" s="9" t="s">
        <v>12</v>
      </c>
    </row>
    <row r="12" customFormat="false" ht="30" hidden="false" customHeight="true" outlineLevel="0" collapsed="false">
      <c r="A12" s="6" t="s">
        <v>9</v>
      </c>
      <c r="B12" s="7" t="s">
        <v>18</v>
      </c>
      <c r="C12" s="8" t="s">
        <v>19</v>
      </c>
      <c r="D12" s="9" t="s">
        <v>20</v>
      </c>
    </row>
    <row r="13" customFormat="false" ht="30" hidden="false" customHeight="true" outlineLevel="0" collapsed="false">
      <c r="A13" s="6" t="s">
        <v>21</v>
      </c>
      <c r="B13" s="7" t="s">
        <v>22</v>
      </c>
      <c r="C13" s="8" t="s">
        <v>23</v>
      </c>
      <c r="D13" s="9" t="s">
        <v>24</v>
      </c>
    </row>
    <row r="14" customFormat="false" ht="30" hidden="false" customHeight="true" outlineLevel="0" collapsed="false">
      <c r="A14" s="6" t="s">
        <v>21</v>
      </c>
      <c r="B14" s="7" t="s">
        <v>25</v>
      </c>
      <c r="C14" s="8" t="s">
        <v>26</v>
      </c>
      <c r="D14" s="9" t="s">
        <v>12</v>
      </c>
    </row>
    <row r="15" customFormat="false" ht="30" hidden="false" customHeight="true" outlineLevel="0" collapsed="false">
      <c r="A15" s="6" t="s">
        <v>21</v>
      </c>
      <c r="B15" s="7" t="s">
        <v>27</v>
      </c>
      <c r="C15" s="8" t="s">
        <v>28</v>
      </c>
      <c r="D15" s="9" t="s">
        <v>12</v>
      </c>
    </row>
    <row r="16" customFormat="false" ht="30" hidden="false" customHeight="true" outlineLevel="0" collapsed="false">
      <c r="A16" s="6" t="s">
        <v>29</v>
      </c>
      <c r="B16" s="7" t="s">
        <v>30</v>
      </c>
      <c r="C16" s="8" t="s">
        <v>31</v>
      </c>
      <c r="D16" s="9" t="s">
        <v>12</v>
      </c>
    </row>
    <row r="17" customFormat="false" ht="30" hidden="false" customHeight="true" outlineLevel="0" collapsed="false">
      <c r="A17" s="6" t="s">
        <v>29</v>
      </c>
      <c r="B17" s="7" t="s">
        <v>32</v>
      </c>
      <c r="C17" s="8" t="s">
        <v>33</v>
      </c>
      <c r="D17" s="9" t="s">
        <v>34</v>
      </c>
    </row>
    <row r="18" customFormat="false" ht="30" hidden="false" customHeight="true" outlineLevel="0" collapsed="false">
      <c r="A18" s="6" t="s">
        <v>29</v>
      </c>
      <c r="B18" s="7" t="s">
        <v>35</v>
      </c>
      <c r="C18" s="8" t="s">
        <v>36</v>
      </c>
      <c r="D18" s="9" t="s">
        <v>12</v>
      </c>
    </row>
    <row r="19" customFormat="false" ht="30" hidden="false" customHeight="true" outlineLevel="0" collapsed="false">
      <c r="A19" s="6" t="s">
        <v>37</v>
      </c>
      <c r="B19" s="7" t="s">
        <v>38</v>
      </c>
      <c r="C19" s="8" t="s">
        <v>39</v>
      </c>
      <c r="D19" s="9" t="s">
        <v>12</v>
      </c>
    </row>
    <row r="20" customFormat="false" ht="30" hidden="false" customHeight="true" outlineLevel="0" collapsed="false">
      <c r="A20" s="6" t="s">
        <v>37</v>
      </c>
      <c r="B20" s="7" t="s">
        <v>40</v>
      </c>
      <c r="C20" s="8" t="s">
        <v>41</v>
      </c>
      <c r="D20" s="9" t="s">
        <v>42</v>
      </c>
    </row>
    <row r="21" customFormat="false" ht="30" hidden="false" customHeight="true" outlineLevel="0" collapsed="false">
      <c r="A21" s="6" t="s">
        <v>37</v>
      </c>
      <c r="B21" s="7" t="s">
        <v>43</v>
      </c>
      <c r="C21" s="8" t="s">
        <v>44</v>
      </c>
      <c r="D21" s="9" t="s">
        <v>12</v>
      </c>
    </row>
    <row r="22" customFormat="false" ht="30" hidden="false" customHeight="true" outlineLevel="0" collapsed="false">
      <c r="A22" s="6" t="s">
        <v>45</v>
      </c>
      <c r="B22" s="7" t="s">
        <v>46</v>
      </c>
      <c r="C22" s="8" t="s">
        <v>47</v>
      </c>
      <c r="D22" s="9" t="s">
        <v>48</v>
      </c>
    </row>
    <row r="24" customFormat="false" ht="15" hidden="false" customHeight="false" outlineLevel="0" collapsed="false">
      <c r="A24" s="3" t="s">
        <v>49</v>
      </c>
    </row>
    <row r="25" customFormat="false" ht="30" hidden="false" customHeight="true" outlineLevel="0" collapsed="false">
      <c r="A25" s="4" t="s">
        <v>50</v>
      </c>
      <c r="B25" s="4"/>
      <c r="C25" s="4"/>
      <c r="D25" s="4"/>
      <c r="E25" s="4"/>
    </row>
    <row r="26" customFormat="false" ht="30" hidden="false" customHeight="true" outlineLevel="0" collapsed="false">
      <c r="A26" s="4" t="s">
        <v>51</v>
      </c>
      <c r="B26" s="4"/>
      <c r="C26" s="4"/>
      <c r="D26" s="4"/>
      <c r="E26" s="4"/>
    </row>
    <row r="27" customFormat="false" ht="30" hidden="false" customHeight="true" outlineLevel="0" collapsed="false">
      <c r="A27" s="4" t="s">
        <v>52</v>
      </c>
      <c r="B27" s="4"/>
      <c r="C27" s="4"/>
      <c r="D27" s="4"/>
      <c r="E27" s="4"/>
    </row>
    <row r="28" customFormat="false" ht="30" hidden="false" customHeight="true" outlineLevel="0" collapsed="false">
      <c r="A28" s="4" t="s">
        <v>53</v>
      </c>
      <c r="B28" s="4"/>
      <c r="C28" s="4"/>
      <c r="D28" s="4"/>
      <c r="E28" s="4"/>
    </row>
    <row r="30" customFormat="false" ht="15" hidden="false" customHeight="false" outlineLevel="0" collapsed="false">
      <c r="A30" s="3" t="s">
        <v>54</v>
      </c>
    </row>
    <row r="31" customFormat="false" ht="15" hidden="false" customHeight="false" outlineLevel="0" collapsed="false">
      <c r="A31" s="10" t="s">
        <v>55</v>
      </c>
      <c r="B31" s="11" t="s">
        <v>56</v>
      </c>
    </row>
    <row r="32" customFormat="false" ht="15" hidden="false" customHeight="false" outlineLevel="0" collapsed="false">
      <c r="A32" s="11" t="s">
        <v>57</v>
      </c>
      <c r="B32" s="11" t="s">
        <v>58</v>
      </c>
    </row>
  </sheetData>
  <mergeCells count="5">
    <mergeCell ref="A5:E5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</row>
    <row r="5" customFormat="false" ht="22.35" hidden="false" customHeight="false" outlineLevel="0" collapsed="false">
      <c r="A5" s="12" t="s">
        <v>69</v>
      </c>
      <c r="B5" s="12" t="s">
        <v>70</v>
      </c>
      <c r="C5" s="13" t="s">
        <v>71</v>
      </c>
      <c r="D5" s="13" t="s">
        <v>72</v>
      </c>
      <c r="E5" s="12" t="s">
        <v>73</v>
      </c>
      <c r="F5" s="12" t="s">
        <v>74</v>
      </c>
      <c r="G5" s="13" t="s">
        <v>75</v>
      </c>
      <c r="H5" s="13" t="s">
        <v>76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</row>
  </sheetData>
  <dataValidations count="1">
    <dataValidation allowBlank="true" errorStyle="stop" operator="between" showDropDown="false" showErrorMessage="false" showInputMessage="false" sqref="B6:B35" type="list">
      <formula1>"Incoming,Outgoing"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3.85" hidden="false" customHeight="false" outlineLevel="0" collapsed="false">
      <c r="A4" s="5" t="s">
        <v>79</v>
      </c>
      <c r="B4" s="5" t="s">
        <v>80</v>
      </c>
      <c r="C4" s="5" t="s">
        <v>81</v>
      </c>
      <c r="D4" s="5" t="s">
        <v>82</v>
      </c>
      <c r="E4" s="5" t="s">
        <v>8</v>
      </c>
      <c r="F4" s="5" t="s">
        <v>83</v>
      </c>
      <c r="G4" s="5" t="s">
        <v>84</v>
      </c>
      <c r="H4" s="5" t="s">
        <v>85</v>
      </c>
    </row>
    <row r="5" customFormat="false" ht="35.05" hidden="false" customHeight="false" outlineLevel="0" collapsed="false">
      <c r="A5" s="8" t="s">
        <v>86</v>
      </c>
      <c r="B5" s="6" t="s">
        <v>87</v>
      </c>
      <c r="C5" s="6" t="s">
        <v>88</v>
      </c>
      <c r="D5" s="6" t="s">
        <v>89</v>
      </c>
      <c r="E5" s="6" t="s">
        <v>90</v>
      </c>
      <c r="F5" s="6" t="s">
        <v>91</v>
      </c>
      <c r="G5" s="6"/>
      <c r="H5" s="6"/>
    </row>
    <row r="6" customFormat="false" ht="23.85" hidden="false" customHeight="false" outlineLevel="0" collapsed="false">
      <c r="A6" s="8" t="s">
        <v>92</v>
      </c>
      <c r="B6" s="6" t="s">
        <v>93</v>
      </c>
      <c r="C6" s="6" t="s">
        <v>94</v>
      </c>
      <c r="D6" s="6" t="s">
        <v>95</v>
      </c>
      <c r="E6" s="6" t="s">
        <v>90</v>
      </c>
      <c r="F6" s="6"/>
      <c r="G6" s="6"/>
      <c r="H6" s="6"/>
    </row>
    <row r="7" customFormat="false" ht="15" hidden="false" customHeight="false" outlineLevel="0" collapsed="false">
      <c r="A7" s="8" t="s">
        <v>96</v>
      </c>
      <c r="B7" s="6" t="s">
        <v>97</v>
      </c>
      <c r="C7" s="6" t="s">
        <v>98</v>
      </c>
      <c r="D7" s="6" t="s">
        <v>95</v>
      </c>
      <c r="E7" s="6" t="s">
        <v>90</v>
      </c>
      <c r="F7" s="6"/>
      <c r="G7" s="6"/>
      <c r="H7" s="6"/>
    </row>
    <row r="8" customFormat="false" ht="15" hidden="false" customHeight="false" outlineLevel="0" collapsed="false">
      <c r="A8" s="8" t="s">
        <v>99</v>
      </c>
      <c r="B8" s="6" t="s">
        <v>97</v>
      </c>
      <c r="C8" s="6" t="s">
        <v>100</v>
      </c>
      <c r="D8" s="6" t="s">
        <v>95</v>
      </c>
      <c r="E8" s="6" t="s">
        <v>90</v>
      </c>
      <c r="F8" s="6"/>
      <c r="G8" s="6"/>
      <c r="H8" s="6"/>
    </row>
    <row r="9" customFormat="false" ht="15" hidden="false" customHeight="false" outlineLevel="0" collapsed="false">
      <c r="A9" s="8" t="s">
        <v>101</v>
      </c>
      <c r="B9" s="6" t="s">
        <v>102</v>
      </c>
      <c r="C9" s="6" t="s">
        <v>103</v>
      </c>
      <c r="D9" s="6" t="s">
        <v>104</v>
      </c>
      <c r="E9" s="6" t="s">
        <v>105</v>
      </c>
      <c r="F9" s="6"/>
      <c r="G9" s="6"/>
      <c r="H9" s="6"/>
    </row>
    <row r="10" customFormat="false" ht="23.85" hidden="false" customHeight="false" outlineLevel="0" collapsed="false">
      <c r="A10" s="8" t="s">
        <v>106</v>
      </c>
      <c r="B10" s="6" t="s">
        <v>102</v>
      </c>
      <c r="C10" s="6" t="s">
        <v>103</v>
      </c>
      <c r="D10" s="6" t="s">
        <v>107</v>
      </c>
      <c r="E10" s="6" t="s">
        <v>105</v>
      </c>
      <c r="F10" s="6"/>
      <c r="G10" s="6"/>
      <c r="H10" s="6"/>
    </row>
    <row r="11" customFormat="false" ht="23.85" hidden="false" customHeight="false" outlineLevel="0" collapsed="false">
      <c r="A11" s="8" t="s">
        <v>108</v>
      </c>
      <c r="B11" s="6" t="s">
        <v>102</v>
      </c>
      <c r="C11" s="6" t="s">
        <v>103</v>
      </c>
      <c r="D11" s="6" t="s">
        <v>107</v>
      </c>
      <c r="E11" s="6" t="s">
        <v>105</v>
      </c>
      <c r="F11" s="6"/>
      <c r="G11" s="6"/>
      <c r="H11" s="6"/>
    </row>
    <row r="12" customFormat="false" ht="23.85" hidden="false" customHeight="false" outlineLevel="0" collapsed="false">
      <c r="A12" s="8" t="s">
        <v>109</v>
      </c>
      <c r="B12" s="6" t="s">
        <v>102</v>
      </c>
      <c r="C12" s="6" t="s">
        <v>103</v>
      </c>
      <c r="D12" s="6" t="s">
        <v>107</v>
      </c>
      <c r="E12" s="6" t="s">
        <v>105</v>
      </c>
      <c r="F12" s="6"/>
      <c r="G12" s="6"/>
      <c r="H12" s="6"/>
    </row>
    <row r="13" customFormat="false" ht="23.85" hidden="false" customHeight="false" outlineLevel="0" collapsed="false">
      <c r="A13" s="8" t="s">
        <v>110</v>
      </c>
      <c r="B13" s="6" t="s">
        <v>102</v>
      </c>
      <c r="C13" s="6" t="s">
        <v>103</v>
      </c>
      <c r="D13" s="6" t="s">
        <v>111</v>
      </c>
      <c r="E13" s="6" t="s">
        <v>105</v>
      </c>
      <c r="F13" s="6"/>
      <c r="G13" s="6"/>
      <c r="H13" s="6"/>
    </row>
    <row r="14" customFormat="false" ht="15" hidden="false" customHeight="false" outlineLevel="0" collapsed="false">
      <c r="A14" s="8" t="s">
        <v>112</v>
      </c>
      <c r="B14" s="6" t="s">
        <v>102</v>
      </c>
      <c r="C14" s="6" t="s">
        <v>103</v>
      </c>
      <c r="D14" s="6" t="s">
        <v>107</v>
      </c>
      <c r="E14" s="6" t="s">
        <v>113</v>
      </c>
      <c r="F14" s="6" t="s">
        <v>114</v>
      </c>
      <c r="G14" s="6" t="s">
        <v>115</v>
      </c>
      <c r="H14" s="6"/>
    </row>
    <row r="15" customFormat="false" ht="15" hidden="false" customHeight="false" outlineLevel="0" collapsed="false">
      <c r="A15" s="8" t="s">
        <v>116</v>
      </c>
      <c r="B15" s="6" t="s">
        <v>102</v>
      </c>
      <c r="C15" s="6" t="s">
        <v>103</v>
      </c>
      <c r="D15" s="6" t="s">
        <v>111</v>
      </c>
      <c r="E15" s="6" t="s">
        <v>117</v>
      </c>
      <c r="F15" s="6" t="s">
        <v>118</v>
      </c>
      <c r="G15" s="6" t="s">
        <v>119</v>
      </c>
      <c r="H15" s="6"/>
    </row>
    <row r="16" customFormat="false" ht="15" hidden="false" customHeight="false" outlineLevel="0" collapsed="false">
      <c r="A16" s="8" t="s">
        <v>120</v>
      </c>
      <c r="B16" s="6" t="s">
        <v>121</v>
      </c>
      <c r="C16" s="6" t="s">
        <v>122</v>
      </c>
      <c r="D16" s="6" t="s">
        <v>111</v>
      </c>
      <c r="E16" s="6" t="s">
        <v>123</v>
      </c>
      <c r="F16" s="6"/>
      <c r="G16" s="6"/>
      <c r="H16" s="6"/>
    </row>
    <row r="17" customFormat="false" ht="15" hidden="false" customHeight="false" outlineLevel="0" collapsed="false">
      <c r="A17" s="8" t="s">
        <v>124</v>
      </c>
      <c r="B17" s="6" t="s">
        <v>125</v>
      </c>
      <c r="C17" s="6" t="s">
        <v>103</v>
      </c>
      <c r="D17" s="6" t="s">
        <v>111</v>
      </c>
      <c r="E17" s="6" t="s">
        <v>126</v>
      </c>
      <c r="F17" s="6"/>
      <c r="G17" s="6"/>
      <c r="H17" s="6"/>
    </row>
    <row r="18" customFormat="false" ht="23.85" hidden="false" customHeight="false" outlineLevel="0" collapsed="false">
      <c r="A18" s="8" t="s">
        <v>127</v>
      </c>
      <c r="B18" s="6" t="s">
        <v>125</v>
      </c>
      <c r="C18" s="6" t="s">
        <v>103</v>
      </c>
      <c r="D18" s="6" t="s">
        <v>111</v>
      </c>
      <c r="E18" s="6" t="s">
        <v>126</v>
      </c>
      <c r="F18" s="6"/>
      <c r="G18" s="6"/>
      <c r="H18" s="6"/>
    </row>
  </sheetData>
  <autoFilter ref="A4:H18"/>
  <conditionalFormatting sqref="E5:E18">
    <cfRule type="cellIs" priority="2" operator="equal" aboveAverage="0" equalAverage="0" bottom="0" percent="0" rank="0" text="" dxfId="6">
      <formula>"Draft"</formula>
    </cfRule>
    <cfRule type="cellIs" priority="3" operator="equal" aboveAverage="0" equalAverage="0" bottom="0" percent="0" rank="0" text="" dxfId="7">
      <formula>"Approved"</formula>
    </cfRule>
    <cfRule type="cellIs" priority="4" operator="equal" aboveAverage="0" equalAverage="0" bottom="0" percent="0" rank="0" text="" dxfId="7">
      <formula>"Active"</formula>
    </cfRule>
  </conditionalFormatting>
  <dataValidations count="1">
    <dataValidation allowBlank="true" errorStyle="stop" operator="between" showDropDown="false" showErrorMessage="false" showInputMessage="false" sqref="E5:E18" type="list">
      <formula1>"Draft,In review,Approved,Superseded,Decision recorded,Active,Archived"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5" min="4" style="0" width="34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5" t="s">
        <v>61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</row>
    <row r="5" customFormat="false" ht="15" hidden="false" customHeight="false" outlineLevel="0" collapsed="false">
      <c r="A5" s="12" t="s">
        <v>136</v>
      </c>
      <c r="B5" s="12" t="s">
        <v>137</v>
      </c>
      <c r="C5" s="13" t="s">
        <v>138</v>
      </c>
      <c r="D5" s="13" t="s">
        <v>139</v>
      </c>
      <c r="E5" s="13" t="s">
        <v>140</v>
      </c>
      <c r="F5" s="13" t="s">
        <v>141</v>
      </c>
      <c r="G5" s="12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3.85" hidden="false" customHeight="false" outlineLevel="0" collapsed="false">
      <c r="A4" s="5" t="s">
        <v>144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8</v>
      </c>
      <c r="H4" s="5" t="s">
        <v>150</v>
      </c>
    </row>
    <row r="5" customFormat="false" ht="23.85" hidden="false" customHeight="false" outlineLevel="0" collapsed="false">
      <c r="A5" s="8" t="s">
        <v>151</v>
      </c>
      <c r="B5" s="6" t="s">
        <v>152</v>
      </c>
      <c r="C5" s="6" t="s">
        <v>153</v>
      </c>
      <c r="D5" s="8" t="s">
        <v>154</v>
      </c>
      <c r="E5" s="6"/>
      <c r="F5" s="6"/>
      <c r="G5" s="6" t="s">
        <v>126</v>
      </c>
      <c r="H5" s="8" t="s">
        <v>155</v>
      </c>
    </row>
    <row r="6" customFormat="false" ht="23.85" hidden="false" customHeight="false" outlineLevel="0" collapsed="false">
      <c r="A6" s="8" t="s">
        <v>156</v>
      </c>
      <c r="B6" s="6" t="s">
        <v>152</v>
      </c>
      <c r="C6" s="6" t="s">
        <v>153</v>
      </c>
      <c r="D6" s="8" t="s">
        <v>157</v>
      </c>
      <c r="E6" s="6"/>
      <c r="F6" s="6"/>
      <c r="G6" s="6" t="s">
        <v>126</v>
      </c>
      <c r="H6" s="8"/>
    </row>
    <row r="7" customFormat="false" ht="23.85" hidden="false" customHeight="false" outlineLevel="0" collapsed="false">
      <c r="A7" s="8" t="s">
        <v>158</v>
      </c>
      <c r="B7" s="6" t="s">
        <v>152</v>
      </c>
      <c r="C7" s="6" t="s">
        <v>153</v>
      </c>
      <c r="D7" s="8" t="s">
        <v>122</v>
      </c>
      <c r="E7" s="6"/>
      <c r="F7" s="6" t="s">
        <v>119</v>
      </c>
      <c r="G7" s="6" t="s">
        <v>159</v>
      </c>
      <c r="H7" s="8" t="s">
        <v>160</v>
      </c>
    </row>
    <row r="8" customFormat="false" ht="15" hidden="false" customHeight="false" outlineLevel="0" collapsed="false">
      <c r="A8" s="8" t="s">
        <v>161</v>
      </c>
      <c r="B8" s="6" t="s">
        <v>152</v>
      </c>
      <c r="C8" s="6" t="s">
        <v>153</v>
      </c>
      <c r="D8" s="8" t="s">
        <v>162</v>
      </c>
      <c r="E8" s="6"/>
      <c r="F8" s="6"/>
      <c r="G8" s="6" t="s">
        <v>126</v>
      </c>
      <c r="H8" s="8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</sheetData>
  <dataValidations count="1">
    <dataValidation allowBlank="true" errorStyle="stop" operator="between" showDropDown="false" showErrorMessage="false" showInputMessage="false" sqref="G5:G23" type="list">
      <formula1>"Active,In use,In storage,Draft — pending sign-off,Retired / 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23.85" hidden="false" customHeight="false" outlineLevel="0" collapsed="false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  <c r="G4" s="5" t="s">
        <v>171</v>
      </c>
      <c r="H4" s="5" t="s">
        <v>150</v>
      </c>
    </row>
    <row r="5" customFormat="false" ht="15" hidden="false" customHeight="false" outlineLevel="0" collapsed="false">
      <c r="A5" s="6" t="s">
        <v>74</v>
      </c>
      <c r="B5" s="8" t="s">
        <v>172</v>
      </c>
      <c r="C5" s="6"/>
      <c r="D5" s="6"/>
      <c r="E5" s="6" t="str">
        <f aca="false">IF(OR(C5="",D5=""),"",C5-D5)</f>
        <v/>
      </c>
      <c r="F5" s="15" t="str">
        <f aca="false">IF(OR(C5="",C5=0),"",D5/C5)</f>
        <v/>
      </c>
      <c r="G5" s="6" t="s">
        <v>173</v>
      </c>
      <c r="H5" s="8"/>
    </row>
    <row r="6" customFormat="false" ht="15" hidden="false" customHeight="false" outlineLevel="0" collapsed="false">
      <c r="A6" s="6" t="s">
        <v>74</v>
      </c>
      <c r="B6" s="8" t="s">
        <v>174</v>
      </c>
      <c r="C6" s="6"/>
      <c r="D6" s="6"/>
      <c r="E6" s="6" t="str">
        <f aca="false">IF(OR(C6="",D6=""),"",C6-D6)</f>
        <v/>
      </c>
      <c r="F6" s="15" t="str">
        <f aca="false">IF(OR(C6="",C6=0),"",D6/C6)</f>
        <v/>
      </c>
      <c r="G6" s="6" t="s">
        <v>173</v>
      </c>
      <c r="H6" s="8"/>
    </row>
    <row r="7" customFormat="false" ht="15" hidden="false" customHeight="false" outlineLevel="0" collapsed="false">
      <c r="A7" s="6" t="s">
        <v>74</v>
      </c>
      <c r="B7" s="8" t="s">
        <v>175</v>
      </c>
      <c r="C7" s="6"/>
      <c r="D7" s="6"/>
      <c r="E7" s="6" t="str">
        <f aca="false">IF(OR(C7="",D7=""),"",C7-D7)</f>
        <v/>
      </c>
      <c r="F7" s="15" t="str">
        <f aca="false">IF(OR(C7="",C7=0),"",D7/C7)</f>
        <v/>
      </c>
      <c r="G7" s="6" t="s">
        <v>173</v>
      </c>
      <c r="H7" s="8"/>
    </row>
    <row r="8" customFormat="false" ht="15" hidden="false" customHeight="false" outlineLevel="0" collapsed="false">
      <c r="A8" s="6" t="s">
        <v>74</v>
      </c>
      <c r="B8" s="8" t="s">
        <v>176</v>
      </c>
      <c r="C8" s="6"/>
      <c r="D8" s="6"/>
      <c r="E8" s="6" t="str">
        <f aca="false">IF(OR(C8="",D8=""),"",C8-D8)</f>
        <v/>
      </c>
      <c r="F8" s="15" t="str">
        <f aca="false">IF(OR(C8="",C8=0),"",D8/C8)</f>
        <v/>
      </c>
      <c r="G8" s="6" t="s">
        <v>173</v>
      </c>
      <c r="H8" s="8"/>
    </row>
    <row r="9" customFormat="false" ht="15" hidden="false" customHeight="false" outlineLevel="0" collapsed="false">
      <c r="A9" s="6" t="s">
        <v>74</v>
      </c>
      <c r="B9" s="8" t="s">
        <v>177</v>
      </c>
      <c r="C9" s="6"/>
      <c r="D9" s="6"/>
      <c r="E9" s="6" t="str">
        <f aca="false">IF(OR(C9="",D9=""),"",C9-D9)</f>
        <v/>
      </c>
      <c r="F9" s="15" t="str">
        <f aca="false">IF(OR(C9="",C9=0),"",D9/C9)</f>
        <v/>
      </c>
      <c r="G9" s="6" t="s">
        <v>173</v>
      </c>
      <c r="H9" s="8"/>
    </row>
    <row r="10" customFormat="false" ht="15" hidden="false" customHeight="false" outlineLevel="0" collapsed="false">
      <c r="A10" s="6" t="s">
        <v>74</v>
      </c>
      <c r="B10" s="8" t="s">
        <v>178</v>
      </c>
      <c r="C10" s="6"/>
      <c r="D10" s="6"/>
      <c r="E10" s="6" t="str">
        <f aca="false">IF(OR(C10="",D10=""),"",C10-D10)</f>
        <v/>
      </c>
      <c r="F10" s="15" t="str">
        <f aca="false">IF(OR(C10="",C10=0),"",D10/C10)</f>
        <v/>
      </c>
      <c r="G10" s="6" t="s">
        <v>173</v>
      </c>
      <c r="H10" s="8"/>
    </row>
    <row r="11" customFormat="false" ht="15" hidden="false" customHeight="false" outlineLevel="0" collapsed="false">
      <c r="A11" s="6" t="s">
        <v>74</v>
      </c>
      <c r="B11" s="8" t="s">
        <v>179</v>
      </c>
      <c r="C11" s="6"/>
      <c r="D11" s="6"/>
      <c r="E11" s="6" t="str">
        <f aca="false">IF(OR(C11="",D11=""),"",C11-D11)</f>
        <v/>
      </c>
      <c r="F11" s="15" t="str">
        <f aca="false">IF(OR(C11="",C11=0),"",D11/C11)</f>
        <v/>
      </c>
      <c r="G11" s="6" t="s">
        <v>173</v>
      </c>
      <c r="H11" s="8"/>
    </row>
    <row r="12" customFormat="false" ht="15" hidden="false" customHeight="false" outlineLevel="0" collapsed="false">
      <c r="A12" s="6" t="s">
        <v>180</v>
      </c>
      <c r="B12" s="8" t="s">
        <v>181</v>
      </c>
      <c r="C12" s="6"/>
      <c r="D12" s="6"/>
      <c r="E12" s="6" t="str">
        <f aca="false">IF(OR(C12="",D12=""),"",C12-D12)</f>
        <v/>
      </c>
      <c r="F12" s="15" t="str">
        <f aca="false">IF(OR(C12="",C12=0),"",D12/C12)</f>
        <v/>
      </c>
      <c r="G12" s="6" t="s">
        <v>173</v>
      </c>
      <c r="H12" s="8"/>
    </row>
    <row r="13" customFormat="false" ht="23.85" hidden="false" customHeight="false" outlineLevel="0" collapsed="false">
      <c r="A13" s="6" t="s">
        <v>180</v>
      </c>
      <c r="B13" s="8" t="s">
        <v>182</v>
      </c>
      <c r="C13" s="6"/>
      <c r="D13" s="6"/>
      <c r="E13" s="6" t="str">
        <f aca="false">IF(OR(C13="",D13=""),"",C13-D13)</f>
        <v/>
      </c>
      <c r="F13" s="15" t="str">
        <f aca="false">IF(OR(C13="",C13=0),"",D13/C13)</f>
        <v/>
      </c>
      <c r="G13" s="6" t="s">
        <v>173</v>
      </c>
      <c r="H13" s="8"/>
    </row>
    <row r="14" customFormat="false" ht="15" hidden="false" customHeight="false" outlineLevel="0" collapsed="false">
      <c r="A14" s="6" t="s">
        <v>180</v>
      </c>
      <c r="B14" s="8" t="s">
        <v>183</v>
      </c>
      <c r="C14" s="6"/>
      <c r="D14" s="6"/>
      <c r="E14" s="6" t="str">
        <f aca="false">IF(OR(C14="",D14=""),"",C14-D14)</f>
        <v/>
      </c>
      <c r="F14" s="15" t="str">
        <f aca="false">IF(OR(C14="",C14=0),"",D14/C14)</f>
        <v/>
      </c>
      <c r="G14" s="6" t="s">
        <v>173</v>
      </c>
      <c r="H14" s="8"/>
    </row>
    <row r="15" customFormat="false" ht="15" hidden="false" customHeight="false" outlineLevel="0" collapsed="false">
      <c r="A15" s="6" t="s">
        <v>180</v>
      </c>
      <c r="B15" s="8" t="s">
        <v>184</v>
      </c>
      <c r="C15" s="6"/>
      <c r="D15" s="6"/>
      <c r="E15" s="6" t="str">
        <f aca="false">IF(OR(C15="",D15=""),"",C15-D15)</f>
        <v/>
      </c>
      <c r="F15" s="15" t="str">
        <f aca="false">IF(OR(C15="",C15=0),"",D15/C15)</f>
        <v/>
      </c>
      <c r="G15" s="6" t="s">
        <v>173</v>
      </c>
      <c r="H15" s="8"/>
    </row>
    <row r="16" customFormat="false" ht="15" hidden="false" customHeight="false" outlineLevel="0" collapsed="false">
      <c r="A16" s="6" t="s">
        <v>185</v>
      </c>
      <c r="B16" s="8" t="s">
        <v>186</v>
      </c>
      <c r="C16" s="6"/>
      <c r="D16" s="6"/>
      <c r="E16" s="6" t="str">
        <f aca="false">IF(OR(C16="",D16=""),"",C16-D16)</f>
        <v/>
      </c>
      <c r="F16" s="15" t="str">
        <f aca="false">IF(OR(C16="",C16=0),"",D16/C16)</f>
        <v/>
      </c>
      <c r="G16" s="6" t="s">
        <v>173</v>
      </c>
      <c r="H16" s="8"/>
    </row>
    <row r="17" customFormat="false" ht="15" hidden="false" customHeight="false" outlineLevel="0" collapsed="false">
      <c r="A17" s="6" t="s">
        <v>185</v>
      </c>
      <c r="B17" s="8" t="s">
        <v>187</v>
      </c>
      <c r="C17" s="6"/>
      <c r="D17" s="6"/>
      <c r="E17" s="6" t="str">
        <f aca="false">IF(OR(C17="",D17=""),"",C17-D17)</f>
        <v/>
      </c>
      <c r="F17" s="15" t="str">
        <f aca="false">IF(OR(C17="",C17=0),"",D17/C17)</f>
        <v/>
      </c>
      <c r="G17" s="6" t="s">
        <v>173</v>
      </c>
      <c r="H17" s="8"/>
    </row>
    <row r="18" customFormat="false" ht="15" hidden="false" customHeight="false" outlineLevel="0" collapsed="false">
      <c r="A18" s="6" t="s">
        <v>185</v>
      </c>
      <c r="B18" s="8" t="s">
        <v>188</v>
      </c>
      <c r="C18" s="6"/>
      <c r="D18" s="6"/>
      <c r="E18" s="6" t="str">
        <f aca="false">IF(OR(C18="",D18=""),"",C18-D18)</f>
        <v/>
      </c>
      <c r="F18" s="15" t="str">
        <f aca="false">IF(OR(C18="",C18=0),"",D18/C18)</f>
        <v/>
      </c>
      <c r="G18" s="6" t="s">
        <v>173</v>
      </c>
      <c r="H18" s="8"/>
    </row>
    <row r="19" customFormat="false" ht="15" hidden="false" customHeight="false" outlineLevel="0" collapsed="false">
      <c r="A19" s="6" t="s">
        <v>185</v>
      </c>
      <c r="B19" s="8" t="s">
        <v>189</v>
      </c>
      <c r="C19" s="6"/>
      <c r="D19" s="6"/>
      <c r="E19" s="6" t="str">
        <f aca="false">IF(OR(C19="",D19=""),"",C19-D19)</f>
        <v/>
      </c>
      <c r="F19" s="15" t="str">
        <f aca="false">IF(OR(C19="",C19=0),"",D19/C19)</f>
        <v/>
      </c>
      <c r="G19" s="6" t="s">
        <v>173</v>
      </c>
      <c r="H19" s="8"/>
    </row>
    <row r="20" customFormat="false" ht="15" hidden="false" customHeight="false" outlineLevel="0" collapsed="false">
      <c r="A20" s="6" t="s">
        <v>190</v>
      </c>
      <c r="B20" s="8" t="s">
        <v>191</v>
      </c>
      <c r="C20" s="6"/>
      <c r="D20" s="6"/>
      <c r="E20" s="6" t="str">
        <f aca="false">IF(OR(C20="",D20=""),"",C20-D20)</f>
        <v/>
      </c>
      <c r="F20" s="15" t="str">
        <f aca="false">IF(OR(C20="",C20=0),"",D20/C20)</f>
        <v/>
      </c>
      <c r="G20" s="6" t="s">
        <v>173</v>
      </c>
      <c r="H20" s="8"/>
    </row>
    <row r="21" customFormat="false" ht="15" hidden="false" customHeight="false" outlineLevel="0" collapsed="false">
      <c r="A21" s="6" t="s">
        <v>190</v>
      </c>
      <c r="B21" s="8" t="s">
        <v>192</v>
      </c>
      <c r="C21" s="6"/>
      <c r="D21" s="6"/>
      <c r="E21" s="6" t="str">
        <f aca="false">IF(OR(C21="",D21=""),"",C21-D21)</f>
        <v/>
      </c>
      <c r="F21" s="15" t="str">
        <f aca="false">IF(OR(C21="",C21=0),"",D21/C21)</f>
        <v/>
      </c>
      <c r="G21" s="6" t="s">
        <v>173</v>
      </c>
      <c r="H21" s="8"/>
    </row>
    <row r="22" customFormat="false" ht="15" hidden="false" customHeight="false" outlineLevel="0" collapsed="false">
      <c r="A22" s="6" t="s">
        <v>190</v>
      </c>
      <c r="B22" s="8" t="s">
        <v>193</v>
      </c>
      <c r="C22" s="6"/>
      <c r="D22" s="6"/>
      <c r="E22" s="6" t="str">
        <f aca="false">IF(OR(C22="",D22=""),"",C22-D22)</f>
        <v/>
      </c>
      <c r="F22" s="15" t="str">
        <f aca="false">IF(OR(C22="",C22=0),"",D22/C22)</f>
        <v/>
      </c>
      <c r="G22" s="6" t="s">
        <v>173</v>
      </c>
      <c r="H22" s="8"/>
    </row>
    <row r="23" customFormat="false" ht="15" hidden="false" customHeight="false" outlineLevel="0" collapsed="false">
      <c r="A23" s="6" t="s">
        <v>194</v>
      </c>
      <c r="B23" s="8" t="s">
        <v>195</v>
      </c>
      <c r="C23" s="6"/>
      <c r="D23" s="6"/>
      <c r="E23" s="6" t="str">
        <f aca="false">IF(OR(C23="",D23=""),"",C23-D23)</f>
        <v/>
      </c>
      <c r="F23" s="15" t="str">
        <f aca="false">IF(OR(C23="",C23=0),"",D23/C23)</f>
        <v/>
      </c>
      <c r="G23" s="6" t="s">
        <v>173</v>
      </c>
      <c r="H23" s="8"/>
    </row>
    <row r="24" customFormat="false" ht="15" hidden="false" customHeight="false" outlineLevel="0" collapsed="false">
      <c r="A24" s="6" t="s">
        <v>194</v>
      </c>
      <c r="B24" s="8" t="s">
        <v>196</v>
      </c>
      <c r="C24" s="6"/>
      <c r="D24" s="6"/>
      <c r="E24" s="6" t="str">
        <f aca="false">IF(OR(C24="",D24=""),"",C24-D24)</f>
        <v/>
      </c>
      <c r="F24" s="15" t="str">
        <f aca="false">IF(OR(C24="",C24=0),"",D24/C24)</f>
        <v/>
      </c>
      <c r="G24" s="6" t="s">
        <v>173</v>
      </c>
      <c r="H24" s="8"/>
    </row>
    <row r="25" customFormat="false" ht="15" hidden="false" customHeight="false" outlineLevel="0" collapsed="false">
      <c r="A25" s="6" t="s">
        <v>194</v>
      </c>
      <c r="B25" s="8" t="s">
        <v>197</v>
      </c>
      <c r="C25" s="6"/>
      <c r="D25" s="6"/>
      <c r="E25" s="6" t="str">
        <f aca="false">IF(OR(C25="",D25=""),"",C25-D25)</f>
        <v/>
      </c>
      <c r="F25" s="15" t="str">
        <f aca="false">IF(OR(C25="",C25=0),"",D25/C25)</f>
        <v/>
      </c>
      <c r="G25" s="6" t="s">
        <v>173</v>
      </c>
      <c r="H25" s="8"/>
    </row>
    <row r="26" customFormat="false" ht="15" hidden="false" customHeight="false" outlineLevel="0" collapsed="false">
      <c r="A26" s="6" t="s">
        <v>198</v>
      </c>
      <c r="B26" s="8" t="s">
        <v>199</v>
      </c>
      <c r="C26" s="6"/>
      <c r="D26" s="6"/>
      <c r="E26" s="6" t="str">
        <f aca="false">IF(OR(C26="",D26=""),"",C26-D26)</f>
        <v/>
      </c>
      <c r="F26" s="15" t="str">
        <f aca="false">IF(OR(C26="",C26=0),"",D26/C26)</f>
        <v/>
      </c>
      <c r="G26" s="6" t="s">
        <v>173</v>
      </c>
      <c r="H26" s="8"/>
    </row>
    <row r="27" customFormat="false" ht="15" hidden="false" customHeight="false" outlineLevel="0" collapsed="false">
      <c r="A27" s="6" t="s">
        <v>198</v>
      </c>
      <c r="B27" s="8" t="s">
        <v>200</v>
      </c>
      <c r="C27" s="6"/>
      <c r="D27" s="6"/>
      <c r="E27" s="6" t="str">
        <f aca="false">IF(OR(C27="",D27=""),"",C27-D27)</f>
        <v/>
      </c>
      <c r="F27" s="15" t="str">
        <f aca="false">IF(OR(C27="",C27=0),"",D27/C27)</f>
        <v/>
      </c>
      <c r="G27" s="6" t="s">
        <v>173</v>
      </c>
      <c r="H27" s="8"/>
    </row>
    <row r="28" customFormat="false" ht="15" hidden="false" customHeight="false" outlineLevel="0" collapsed="false">
      <c r="A28" s="6" t="s">
        <v>198</v>
      </c>
      <c r="B28" s="8" t="s">
        <v>201</v>
      </c>
      <c r="C28" s="6"/>
      <c r="D28" s="6"/>
      <c r="E28" s="6" t="str">
        <f aca="false">IF(OR(C28="",D28=""),"",C28-D28)</f>
        <v/>
      </c>
      <c r="F28" s="15" t="str">
        <f aca="false">IF(OR(C28="",C28=0),"",D28/C28)</f>
        <v/>
      </c>
      <c r="G28" s="6" t="s">
        <v>173</v>
      </c>
      <c r="H28" s="8"/>
    </row>
    <row r="29" customFormat="false" ht="23.85" hidden="false" customHeight="false" outlineLevel="0" collapsed="false">
      <c r="A29" s="6" t="s">
        <v>198</v>
      </c>
      <c r="B29" s="8" t="s">
        <v>202</v>
      </c>
      <c r="C29" s="6"/>
      <c r="D29" s="6"/>
      <c r="E29" s="6" t="str">
        <f aca="false">IF(OR(C29="",D29=""),"",C29-D29)</f>
        <v/>
      </c>
      <c r="F29" s="15" t="str">
        <f aca="false">IF(OR(C29="",C29=0),"",D29/C29)</f>
        <v/>
      </c>
      <c r="G29" s="6" t="s">
        <v>173</v>
      </c>
      <c r="H29" s="8" t="s">
        <v>203</v>
      </c>
    </row>
    <row r="30" customFormat="false" ht="15" hidden="false" customHeight="false" outlineLevel="0" collapsed="false">
      <c r="A30" s="6" t="s">
        <v>198</v>
      </c>
      <c r="B30" s="8" t="s">
        <v>204</v>
      </c>
      <c r="C30" s="6"/>
      <c r="D30" s="6"/>
      <c r="E30" s="6" t="str">
        <f aca="false">IF(OR(C30="",D30=""),"",C30-D30)</f>
        <v/>
      </c>
      <c r="F30" s="15" t="str">
        <f aca="false">IF(OR(C30="",C30=0),"",D30/C30)</f>
        <v/>
      </c>
      <c r="G30" s="6" t="s">
        <v>173</v>
      </c>
      <c r="H30" s="8"/>
    </row>
    <row r="31" customFormat="false" ht="15" hidden="false" customHeight="false" outlineLevel="0" collapsed="false">
      <c r="A31" s="6" t="s">
        <v>198</v>
      </c>
      <c r="B31" s="8" t="s">
        <v>205</v>
      </c>
      <c r="C31" s="6"/>
      <c r="D31" s="6"/>
      <c r="E31" s="6" t="str">
        <f aca="false">IF(OR(C31="",D31=""),"",C31-D31)</f>
        <v/>
      </c>
      <c r="F31" s="15" t="str">
        <f aca="false">IF(OR(C31="",C31=0),"",D31/C31)</f>
        <v/>
      </c>
      <c r="G31" s="6" t="s">
        <v>173</v>
      </c>
      <c r="H31" s="8"/>
    </row>
    <row r="32" customFormat="false" ht="15" hidden="false" customHeight="false" outlineLevel="0" collapsed="false">
      <c r="A32" s="6" t="s">
        <v>198</v>
      </c>
      <c r="B32" s="8" t="s">
        <v>206</v>
      </c>
      <c r="C32" s="6"/>
      <c r="D32" s="6"/>
      <c r="E32" s="6" t="str">
        <f aca="false">IF(OR(C32="",D32=""),"",C32-D32)</f>
        <v/>
      </c>
      <c r="F32" s="15" t="str">
        <f aca="false">IF(OR(C32="",C32=0),"",D32/C32)</f>
        <v/>
      </c>
      <c r="G32" s="6" t="s">
        <v>173</v>
      </c>
      <c r="H32" s="8"/>
    </row>
    <row r="33" customFormat="false" ht="15" hidden="false" customHeight="false" outlineLevel="0" collapsed="false">
      <c r="A33" s="16" t="s">
        <v>207</v>
      </c>
      <c r="B33" s="17"/>
      <c r="C33" s="16" t="n">
        <f aca="false">SUM(C5:C32)</f>
        <v>0</v>
      </c>
      <c r="D33" s="16" t="n">
        <f aca="false">SUM(D5:D32)</f>
        <v>0</v>
      </c>
      <c r="E33" s="16" t="n">
        <f aca="false">SUM(C5:C32)-SUM(D5:D32)</f>
        <v>0</v>
      </c>
      <c r="F33" s="17"/>
      <c r="G33" s="17"/>
      <c r="H33" s="17"/>
    </row>
  </sheetData>
  <autoFilter ref="A4:H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4" min="3" style="0" width="2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23.85" hidden="false" customHeight="false" outlineLevel="0" collapsed="false">
      <c r="A4" s="5" t="s">
        <v>61</v>
      </c>
      <c r="B4" s="5" t="s">
        <v>210</v>
      </c>
      <c r="C4" s="5" t="s">
        <v>80</v>
      </c>
      <c r="D4" s="5" t="s">
        <v>165</v>
      </c>
      <c r="E4" s="5" t="s">
        <v>211</v>
      </c>
      <c r="F4" s="5" t="s">
        <v>212</v>
      </c>
      <c r="G4" s="5" t="s">
        <v>213</v>
      </c>
      <c r="H4" s="5" t="s">
        <v>214</v>
      </c>
      <c r="I4" s="5" t="s">
        <v>83</v>
      </c>
      <c r="J4" s="5" t="s">
        <v>215</v>
      </c>
    </row>
    <row r="5" customFormat="false" ht="15" hidden="false" customHeight="false" outlineLevel="0" collapsed="false">
      <c r="A5" s="12" t="s">
        <v>136</v>
      </c>
      <c r="B5" s="13" t="s">
        <v>76</v>
      </c>
      <c r="C5" s="12" t="s">
        <v>206</v>
      </c>
      <c r="D5" s="12" t="s">
        <v>198</v>
      </c>
      <c r="E5" s="12" t="n">
        <v>0</v>
      </c>
      <c r="F5" s="12" t="s">
        <v>216</v>
      </c>
      <c r="G5" s="12"/>
      <c r="H5" s="12"/>
      <c r="I5" s="12"/>
      <c r="J5" s="12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 t="str">
        <f aca="false">IF(E6="","",SUM($E$6:E6))</f>
        <v/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 t="str">
        <f aca="false">IF(E7="","",SUM($E$6:E7))</f>
        <v/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 t="str">
        <f aca="false">IF(E8="","",SUM($E$6:E8))</f>
        <v/>
      </c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 t="str">
        <f aca="false">IF(E9="","",SUM($E$6:E9))</f>
        <v/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 t="str">
        <f aca="false">IF(E10="","",SUM($E$6:E10))</f>
        <v/>
      </c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 t="str">
        <f aca="false">IF(E11="","",SUM($E$6:E11))</f>
        <v/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 t="str">
        <f aca="false">IF(E12="","",SUM($E$6:E12))</f>
        <v/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 t="str">
        <f aca="false">IF(E13="","",SUM($E$6:E13))</f>
        <v/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 t="str">
        <f aca="false">IF(E14="","",SUM($E$6:E14))</f>
        <v/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 t="str">
        <f aca="false">IF(E15="","",SUM($E$6:E15))</f>
        <v/>
      </c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 t="str">
        <f aca="false">IF(E16="","",SUM($E$6:E16))</f>
        <v/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 t="str">
        <f aca="false">IF(E17="","",SUM($E$6:E17))</f>
        <v/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 t="str">
        <f aca="false">IF(E18="","",SUM($E$6:E18))</f>
        <v/>
      </c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 t="str">
        <f aca="false">IF(E19="","",SUM($E$6:E19))</f>
        <v/>
      </c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 t="str">
        <f aca="false">IF(E20="","",SUM($E$6:E20))</f>
        <v/>
      </c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 t="str">
        <f aca="false">IF(E21="","",SUM($E$6:E21))</f>
        <v/>
      </c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 t="str">
        <f aca="false">IF(E22="","",SUM($E$6:E22))</f>
        <v/>
      </c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 t="str">
        <f aca="false">IF(E23="","",SUM($E$6:E23))</f>
        <v/>
      </c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 t="str">
        <f aca="false">IF(E24="","",SUM($E$6:E24))</f>
        <v/>
      </c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 t="str">
        <f aca="false">IF(E25="","",SUM($E$6:E25))</f>
        <v/>
      </c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 t="str">
        <f aca="false">IF(E26="","",SUM($E$6:E26))</f>
        <v/>
      </c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 t="str">
        <f aca="false">IF(E27="","",SUM($E$6:E27))</f>
        <v/>
      </c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 t="str">
        <f aca="false">IF(E28="","",SUM($E$6:E28))</f>
        <v/>
      </c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 t="str">
        <f aca="false">IF(E29="","",SUM($E$6:E29))</f>
        <v/>
      </c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 t="str">
        <f aca="false">IF(E30="","",SUM($E$6:E30))</f>
        <v/>
      </c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 t="str">
        <f aca="false">IF(E31="","",SUM($E$6:E31))</f>
        <v/>
      </c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 t="str">
        <f aca="false">IF(E32="","",SUM($E$6:E32))</f>
        <v/>
      </c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 t="str">
        <f aca="false">IF(E33="","",SUM($E$6:E33))</f>
        <v/>
      </c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 t="str">
        <f aca="false">IF(E34="","",SUM($E$6:E34))</f>
        <v/>
      </c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 t="str">
        <f aca="false">IF(E35="","",SUM($E$6:E35))</f>
        <v/>
      </c>
    </row>
  </sheetData>
  <dataValidations count="2">
    <dataValidation allowBlank="true" errorStyle="stop" operator="between" showDropDown="false" showErrorMessage="false" showInputMessage="false" sqref="C6:C35" type="list">
      <formula1>"Personnel,Vaccines/drugs/supplies,Training,Campaign operations,M&amp;E,Partnerships &amp; regulatory,Staff salaries,Rent &amp; utilities,Insurance,Professional fees,Bank &amp; transaction fees,Travel &amp; transport,Office supplies &amp; communications,Other"</formula1>
      <formula2>0</formula2>
    </dataValidation>
    <dataValidation allowBlank="true" errorStyle="stop" operator="between" showDropDown="false" showErrorMessage="false" showInputMessage="false" sqref="F6:F35" type="list">
      <formula1>"Mobile money,Bank transfer,Cash,Card,Cheque"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5" t="s">
        <v>62</v>
      </c>
      <c r="B4" s="5" t="s">
        <v>219</v>
      </c>
      <c r="C4" s="5" t="s">
        <v>210</v>
      </c>
      <c r="D4" s="5" t="s">
        <v>211</v>
      </c>
      <c r="E4" s="5" t="s">
        <v>220</v>
      </c>
      <c r="F4" s="5" t="s">
        <v>221</v>
      </c>
      <c r="G4" s="5" t="s">
        <v>8</v>
      </c>
      <c r="H4" s="5" t="s">
        <v>222</v>
      </c>
      <c r="I4" s="5" t="s">
        <v>150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</row>
  </sheetData>
  <conditionalFormatting sqref="G5:G29">
    <cfRule type="cellIs" priority="2" operator="equal" aboveAverage="0" equalAverage="0" bottom="0" percent="0" rank="0" text="" dxfId="8">
      <formula>"Overdue"</formula>
    </cfRule>
    <cfRule type="cellIs" priority="3" operator="equal" aboveAverage="0" equalAverage="0" bottom="0" percent="0" rank="0" text="" dxfId="6">
      <formula>"Due"</formula>
    </cfRule>
    <cfRule type="cellIs" priority="4" operator="equal" aboveAverage="0" equalAverage="0" bottom="0" percent="0" rank="0" text="" dxfId="7">
      <formula>"Paid"</formula>
    </cfRule>
  </conditionalFormatting>
  <dataValidations count="2">
    <dataValidation allowBlank="true" errorStyle="stop" operator="between" showDropDown="false" showErrorMessage="false" showInputMessage="false" sqref="A5:A29" type="list">
      <formula1>"Receivable (owed to TJF),Payable (TJF owes)"</formula1>
      <formula2>0</formula2>
    </dataValidation>
    <dataValidation allowBlank="true" errorStyle="stop" operator="between" showDropDown="false" showErrorMessage="false" showInputMessage="false" sqref="G5:G29" type="list">
      <formula1>"Not yet due,Due,Overdue,Paid,Disputed"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5" t="s">
        <v>225</v>
      </c>
      <c r="B4" s="5" t="s">
        <v>145</v>
      </c>
      <c r="C4" s="5" t="s">
        <v>226</v>
      </c>
      <c r="D4" s="5" t="s">
        <v>227</v>
      </c>
      <c r="E4" s="5" t="s">
        <v>147</v>
      </c>
      <c r="F4" s="5" t="s">
        <v>228</v>
      </c>
      <c r="G4" s="5" t="s">
        <v>229</v>
      </c>
      <c r="H4" s="5" t="s">
        <v>8</v>
      </c>
      <c r="I4" s="5" t="s">
        <v>150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</row>
  </sheetData>
  <conditionalFormatting sqref="H5:H24">
    <cfRule type="cellIs" priority="2" operator="equal" aboveAverage="0" equalAverage="0" bottom="0" percent="0" rank="0" text="" dxfId="8">
      <formula>"Lost / stolen"</formula>
    </cfRule>
    <cfRule type="cellIs" priority="3" operator="equal" aboveAverage="0" equalAverage="0" bottom="0" percent="0" rank="0" text="" dxfId="6">
      <formula>"Under repair"</formula>
    </cfRule>
    <cfRule type="cellIs" priority="4" operator="equal" aboveAverage="0" equalAverage="0" bottom="0" percent="0" rank="0" text="" dxfId="7">
      <formula>"In use"</formula>
    </cfRule>
  </conditionalFormatting>
  <dataValidations count="2">
    <dataValidation allowBlank="true" errorStyle="stop" operator="between" showDropDown="false" showErrorMessage="false" showInputMessage="false" sqref="B5:B24" type="list">
      <formula1>"Laptop,Phone,Camera,Tablet,Networking,Other"</formula1>
      <formula2>0</formula2>
    </dataValidation>
    <dataValidation allowBlank="true" errorStyle="stop" operator="between" showDropDown="false" showErrorMessage="false" showInputMessage="false" sqref="H5:H24" type="list">
      <formula1>"In use,In storage,Under repair,Lost / stolen,Retired / 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23.85" hidden="false" customHeight="false" outlineLevel="0" collapsed="false">
      <c r="A4" s="5" t="s">
        <v>232</v>
      </c>
      <c r="B4" s="5" t="s">
        <v>233</v>
      </c>
      <c r="C4" s="5" t="s">
        <v>234</v>
      </c>
      <c r="D4" s="5" t="s">
        <v>235</v>
      </c>
      <c r="E4" s="5" t="s">
        <v>236</v>
      </c>
      <c r="F4" s="5" t="s">
        <v>237</v>
      </c>
      <c r="G4" s="5" t="s">
        <v>238</v>
      </c>
      <c r="H4" s="5" t="s">
        <v>150</v>
      </c>
    </row>
    <row r="5" customFormat="false" ht="23.85" hidden="false" customHeight="false" outlineLevel="0" collapsed="false">
      <c r="A5" s="6" t="s">
        <v>239</v>
      </c>
      <c r="B5" s="8" t="s">
        <v>240</v>
      </c>
      <c r="C5" s="6" t="s">
        <v>154</v>
      </c>
      <c r="D5" s="6"/>
      <c r="E5" s="6"/>
      <c r="F5" s="6"/>
      <c r="G5" s="6"/>
      <c r="H5" s="8" t="s">
        <v>241</v>
      </c>
    </row>
    <row r="6" customFormat="false" ht="15" hidden="false" customHeight="false" outlineLevel="0" collapsed="false">
      <c r="A6" s="6" t="s">
        <v>242</v>
      </c>
      <c r="B6" s="8" t="s">
        <v>243</v>
      </c>
      <c r="C6" s="6" t="s">
        <v>157</v>
      </c>
      <c r="D6" s="6"/>
      <c r="E6" s="6"/>
      <c r="F6" s="6" t="s">
        <v>244</v>
      </c>
      <c r="G6" s="6"/>
      <c r="H6" s="8" t="s">
        <v>245</v>
      </c>
    </row>
    <row r="7" customFormat="false" ht="23.85" hidden="false" customHeight="false" outlineLevel="0" collapsed="false">
      <c r="A7" s="6" t="s">
        <v>246</v>
      </c>
      <c r="B7" s="8" t="s">
        <v>247</v>
      </c>
      <c r="C7" s="6" t="s">
        <v>248</v>
      </c>
      <c r="D7" s="6"/>
      <c r="E7" s="6"/>
      <c r="F7" s="6"/>
      <c r="G7" s="6"/>
      <c r="H7" s="8" t="s">
        <v>249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</sheetData>
  <conditionalFormatting sqref="F5:F22">
    <cfRule type="cellIs" priority="2" operator="equal" aboveAverage="0" equalAverage="0" bottom="0" percent="0" rank="0" text="" dxfId="8">
      <formula>"No"</formula>
    </cfRule>
    <cfRule type="cellIs" priority="3" operator="equal" aboveAverage="0" equalAverage="0" bottom="0" percent="0" rank="0" text="" dxfId="7">
      <formula>"Yes"</formula>
    </cfRule>
  </conditionalFormatting>
  <dataValidations count="1">
    <dataValidation allowBlank="true" errorStyle="stop" operator="between" showDropDown="false" showErrorMessage="false" showInputMessage="false" sqref="F5:F2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15" hidden="false" customHeight="false" outlineLevel="0" collapsed="false">
      <c r="A4" s="5" t="s">
        <v>252</v>
      </c>
      <c r="B4" s="5" t="s">
        <v>253</v>
      </c>
      <c r="C4" s="5" t="s">
        <v>254</v>
      </c>
      <c r="D4" s="5" t="s">
        <v>255</v>
      </c>
      <c r="E4" s="5" t="s">
        <v>256</v>
      </c>
      <c r="F4" s="5" t="s">
        <v>8</v>
      </c>
      <c r="G4" s="5" t="s">
        <v>257</v>
      </c>
      <c r="H4" s="5" t="s">
        <v>258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</sheetData>
  <conditionalFormatting sqref="E5:E24">
    <cfRule type="cellIs" priority="2" operator="equal" aboveAverage="0" equalAverage="0" bottom="0" percent="0" rank="0" text="" dxfId="8">
      <formula>"Critical"</formula>
    </cfRule>
  </conditionalFormatting>
  <conditionalFormatting sqref="F5:F24">
    <cfRule type="cellIs" priority="3" operator="equal" aboveAverage="0" equalAverage="0" bottom="0" percent="0" rank="0" text="" dxfId="8">
      <formula>"Open"</formula>
    </cfRule>
    <cfRule type="cellIs" priority="4" operator="equal" aboveAverage="0" equalAverage="0" bottom="0" percent="0" rank="0" text="" dxfId="7">
      <formula>"Resolved"</formula>
    </cfRule>
  </conditionalFormatting>
  <dataValidations count="2">
    <dataValidation allowBlank="true" errorStyle="stop" operator="between" showDropDown="false" showErrorMessage="false" showInputMessage="false" sqref="E5:E24" type="list">
      <formula1>"Low,Medium,High,Critical"</formula1>
      <formula2>0</formula2>
    </dataValidation>
    <dataValidation allowBlank="true" errorStyle="stop" operator="between" showDropDown="false" showErrorMessage="false" showInputMessage="false" sqref="F5:F24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8" min="7" style="0" width="26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15" hidden="false" customHeight="false" outlineLevel="0" collapsed="false">
      <c r="A4" s="5" t="s">
        <v>61</v>
      </c>
      <c r="B4" s="5" t="s">
        <v>261</v>
      </c>
      <c r="C4" s="5" t="s">
        <v>262</v>
      </c>
      <c r="D4" s="5" t="s">
        <v>263</v>
      </c>
      <c r="E4" s="5" t="s">
        <v>264</v>
      </c>
      <c r="F4" s="5" t="s">
        <v>8</v>
      </c>
      <c r="G4" s="5" t="s">
        <v>265</v>
      </c>
      <c r="H4" s="5" t="s">
        <v>266</v>
      </c>
    </row>
    <row r="5" customFormat="false" ht="15" hidden="false" customHeight="false" outlineLevel="0" collapsed="false">
      <c r="A5" s="18" t="s">
        <v>267</v>
      </c>
      <c r="B5" s="19" t="s">
        <v>268</v>
      </c>
      <c r="C5" s="18" t="s">
        <v>269</v>
      </c>
      <c r="D5" s="18" t="s">
        <v>270</v>
      </c>
      <c r="E5" s="18" t="s">
        <v>271</v>
      </c>
      <c r="F5" s="18" t="s">
        <v>272</v>
      </c>
      <c r="G5" s="18" t="s">
        <v>273</v>
      </c>
      <c r="H5" s="19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</row>
  </sheetData>
  <conditionalFormatting sqref="F6:F30">
    <cfRule type="cellIs" priority="2" operator="equal" aboveAverage="0" equalAverage="0" bottom="0" percent="0" rank="0" text="" dxfId="7">
      <formula>"Published"</formula>
    </cfRule>
    <cfRule type="cellIs" priority="3" operator="equal" aboveAverage="0" equalAverage="0" bottom="0" percent="0" rank="0" text="" dxfId="9">
      <formula>"Idea"</formula>
    </cfRule>
  </conditionalFormatting>
  <dataValidations count="3">
    <dataValidation allowBlank="true" errorStyle="stop" operator="between" showDropDown="false" showErrorMessage="false" showInputMessage="false" sqref="C6:C30" type="list">
      <formula1>"Instagram,Facebook,X,LinkedIn,Website,Newsletter,Multiple"</formula1>
      <formula2>0</formula2>
    </dataValidation>
    <dataValidation allowBlank="true" errorStyle="stop" operator="between" showDropDown="false" showErrorMessage="false" showInputMessage="false" sqref="D6:D30" type="list">
      <formula1>"Social post,Blog / article,Newsletter,Video,Graphic / one-pager,Press release"</formula1>
      <formula2>0</formula2>
    </dataValidation>
    <dataValidation allowBlank="true" errorStyle="stop" operator="between" showDropDown="false" showErrorMessage="false" showInputMessage="false" sqref="F6:F30" type="list">
      <formula1>"Idea,Drafting,In review,Scheduled,Published"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5" t="s">
        <v>276</v>
      </c>
      <c r="B4" s="5" t="s">
        <v>145</v>
      </c>
      <c r="C4" s="5" t="s">
        <v>277</v>
      </c>
      <c r="D4" s="5" t="s">
        <v>8</v>
      </c>
      <c r="E4" s="5" t="s">
        <v>278</v>
      </c>
      <c r="F4" s="5" t="s">
        <v>279</v>
      </c>
      <c r="G4" s="5" t="s">
        <v>265</v>
      </c>
      <c r="H4" s="5" t="s">
        <v>150</v>
      </c>
    </row>
    <row r="5" customFormat="false" ht="46.25" hidden="false" customHeight="false" outlineLevel="0" collapsed="false">
      <c r="A5" s="8" t="s">
        <v>280</v>
      </c>
      <c r="B5" s="6" t="s">
        <v>281</v>
      </c>
      <c r="C5" s="8" t="s">
        <v>282</v>
      </c>
      <c r="D5" s="6" t="s">
        <v>283</v>
      </c>
      <c r="E5" s="6"/>
      <c r="F5" s="6"/>
      <c r="G5" s="6"/>
      <c r="H5" s="8" t="s">
        <v>284</v>
      </c>
    </row>
    <row r="6" customFormat="false" ht="35.05" hidden="false" customHeight="false" outlineLevel="0" collapsed="false">
      <c r="A6" s="8" t="s">
        <v>285</v>
      </c>
      <c r="B6" s="6" t="s">
        <v>281</v>
      </c>
      <c r="C6" s="8" t="s">
        <v>286</v>
      </c>
      <c r="D6" s="6" t="s">
        <v>283</v>
      </c>
      <c r="E6" s="6"/>
      <c r="F6" s="6"/>
      <c r="G6" s="6"/>
      <c r="H6" s="8" t="s">
        <v>287</v>
      </c>
    </row>
    <row r="7" customFormat="false" ht="23.85" hidden="false" customHeight="false" outlineLevel="0" collapsed="false">
      <c r="A7" s="8" t="s">
        <v>288</v>
      </c>
      <c r="B7" s="6" t="s">
        <v>289</v>
      </c>
      <c r="C7" s="8" t="s">
        <v>290</v>
      </c>
      <c r="D7" s="6" t="s">
        <v>283</v>
      </c>
      <c r="E7" s="6"/>
      <c r="F7" s="6"/>
      <c r="G7" s="6"/>
      <c r="H7" s="8" t="s">
        <v>291</v>
      </c>
    </row>
    <row r="8" customFormat="false" ht="23.85" hidden="false" customHeight="false" outlineLevel="0" collapsed="false">
      <c r="A8" s="8" t="s">
        <v>271</v>
      </c>
      <c r="B8" s="6" t="s">
        <v>292</v>
      </c>
      <c r="C8" s="8" t="s">
        <v>293</v>
      </c>
      <c r="D8" s="6" t="s">
        <v>294</v>
      </c>
      <c r="E8" s="6" t="s">
        <v>119</v>
      </c>
      <c r="F8" s="6" t="s">
        <v>267</v>
      </c>
      <c r="G8" s="6" t="s">
        <v>295</v>
      </c>
      <c r="H8" s="8" t="s">
        <v>296</v>
      </c>
    </row>
    <row r="9" customFormat="false" ht="35.05" hidden="false" customHeight="false" outlineLevel="0" collapsed="false">
      <c r="A9" s="8" t="s">
        <v>297</v>
      </c>
      <c r="B9" s="6" t="s">
        <v>298</v>
      </c>
      <c r="C9" s="8" t="s">
        <v>299</v>
      </c>
      <c r="D9" s="6" t="s">
        <v>294</v>
      </c>
      <c r="E9" s="6" t="s">
        <v>69</v>
      </c>
      <c r="F9" s="6" t="s">
        <v>300</v>
      </c>
      <c r="G9" s="6" t="s">
        <v>301</v>
      </c>
      <c r="H9" s="8" t="s">
        <v>302</v>
      </c>
    </row>
    <row r="10" customFormat="false" ht="35.05" hidden="false" customHeight="false" outlineLevel="0" collapsed="false">
      <c r="A10" s="8" t="s">
        <v>303</v>
      </c>
      <c r="B10" s="6" t="s">
        <v>304</v>
      </c>
      <c r="C10" s="8" t="s">
        <v>305</v>
      </c>
      <c r="D10" s="6" t="s">
        <v>294</v>
      </c>
      <c r="E10" s="6" t="s">
        <v>300</v>
      </c>
      <c r="F10" s="6" t="s">
        <v>300</v>
      </c>
      <c r="G10" s="6" t="s">
        <v>301</v>
      </c>
      <c r="H10" s="8" t="s">
        <v>306</v>
      </c>
    </row>
  </sheetData>
  <autoFilter ref="A4:H10"/>
  <conditionalFormatting sqref="D5:D10">
    <cfRule type="cellIs" priority="2" operator="equal" aboveAverage="0" equalAverage="0" bottom="0" percent="0" rank="0" text="" dxfId="7">
      <formula>"Delivered"</formula>
    </cfRule>
    <cfRule type="cellIs" priority="3" operator="equal" aboveAverage="0" equalAverage="0" bottom="0" percent="0" rank="0" text="" dxfId="6">
      <formula>"Running"</formula>
    </cfRule>
    <cfRule type="cellIs" priority="4" operator="equal" aboveAverage="0" equalAverage="0" bottom="0" percent="0" rank="0" text="" dxfId="9">
      <formula>"Planned"</formula>
    </cfRule>
  </conditionalFormatting>
  <dataValidations count="1">
    <dataValidation allowBlank="true" errorStyle="stop" operator="between" showDropDown="false" showErrorMessage="false" showInputMessage="false" sqref="D5:D10" type="list">
      <formula1>"Idea,Planned,Running,Delivered,Postponed"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8" min="7" style="0" width="26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23.85" hidden="false" customHeight="false" outlineLevel="0" collapsed="false">
      <c r="A4" s="5" t="s">
        <v>61</v>
      </c>
      <c r="B4" s="5" t="s">
        <v>309</v>
      </c>
      <c r="C4" s="5" t="s">
        <v>310</v>
      </c>
      <c r="D4" s="5" t="s">
        <v>311</v>
      </c>
      <c r="E4" s="5" t="s">
        <v>312</v>
      </c>
      <c r="F4" s="5" t="s">
        <v>313</v>
      </c>
      <c r="G4" s="5" t="s">
        <v>314</v>
      </c>
      <c r="H4" s="5" t="s">
        <v>150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</sheetData>
  <dataValidations count="1">
    <dataValidation allowBlank="true" errorStyle="stop" operator="between" showDropDown="false" showErrorMessage="false" showInputMessage="false" sqref="B5:B24" type="list">
      <formula1>"Instagram,Facebook,X,LinkedIn,YouTube,TikTok"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23.85" hidden="false" customHeight="false" outlineLevel="0" collapsed="false">
      <c r="A4" s="5" t="s">
        <v>317</v>
      </c>
      <c r="B4" s="5" t="s">
        <v>102</v>
      </c>
      <c r="C4" s="5" t="s">
        <v>318</v>
      </c>
      <c r="D4" s="5" t="s">
        <v>8</v>
      </c>
      <c r="E4" s="5" t="s">
        <v>319</v>
      </c>
      <c r="F4" s="5" t="s">
        <v>320</v>
      </c>
      <c r="G4" s="5" t="s">
        <v>321</v>
      </c>
      <c r="H4" s="5" t="s">
        <v>171</v>
      </c>
      <c r="I4" s="5" t="s">
        <v>150</v>
      </c>
    </row>
    <row r="5" customFormat="false" ht="35.05" hidden="false" customHeight="false" outlineLevel="0" collapsed="false">
      <c r="A5" s="8" t="s">
        <v>322</v>
      </c>
      <c r="B5" s="6" t="s">
        <v>74</v>
      </c>
      <c r="C5" s="8" t="s">
        <v>323</v>
      </c>
      <c r="D5" s="6" t="s">
        <v>283</v>
      </c>
      <c r="E5" s="6"/>
      <c r="F5" s="6"/>
      <c r="G5" s="6"/>
      <c r="H5" s="6" t="s">
        <v>173</v>
      </c>
      <c r="I5" s="8" t="s">
        <v>324</v>
      </c>
    </row>
    <row r="6" customFormat="false" ht="23.85" hidden="false" customHeight="false" outlineLevel="0" collapsed="false">
      <c r="A6" s="8" t="s">
        <v>325</v>
      </c>
      <c r="B6" s="6" t="s">
        <v>74</v>
      </c>
      <c r="C6" s="8" t="s">
        <v>326</v>
      </c>
      <c r="D6" s="6" t="s">
        <v>283</v>
      </c>
      <c r="E6" s="6"/>
      <c r="F6" s="6"/>
      <c r="G6" s="6"/>
      <c r="H6" s="6" t="s">
        <v>173</v>
      </c>
      <c r="I6" s="8" t="s">
        <v>327</v>
      </c>
    </row>
    <row r="7" customFormat="false" ht="35.05" hidden="false" customHeight="false" outlineLevel="0" collapsed="false">
      <c r="A7" s="8" t="s">
        <v>328</v>
      </c>
      <c r="B7" s="6" t="s">
        <v>74</v>
      </c>
      <c r="C7" s="8" t="s">
        <v>329</v>
      </c>
      <c r="D7" s="6" t="s">
        <v>283</v>
      </c>
      <c r="E7" s="6"/>
      <c r="F7" s="6"/>
      <c r="G7" s="6"/>
      <c r="H7" s="6" t="s">
        <v>173</v>
      </c>
      <c r="I7" s="8" t="s">
        <v>330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1" customFormat="false" ht="15" hidden="false" customHeight="false" outlineLevel="0" collapsed="false">
      <c r="A21" s="3" t="s">
        <v>331</v>
      </c>
    </row>
    <row r="22" customFormat="false" ht="43.5" hidden="false" customHeight="true" outlineLevel="0" collapsed="false">
      <c r="A22" s="20" t="s">
        <v>332</v>
      </c>
      <c r="B22" s="20"/>
      <c r="C22" s="20"/>
      <c r="D22" s="20"/>
      <c r="E22" s="20"/>
      <c r="F22" s="20"/>
      <c r="G22" s="20"/>
      <c r="H22" s="20"/>
      <c r="I22" s="20"/>
    </row>
  </sheetData>
  <autoFilter ref="A4:I19"/>
  <mergeCells count="1">
    <mergeCell ref="A22:I22"/>
  </mergeCells>
  <conditionalFormatting sqref="D5:D19">
    <cfRule type="cellIs" priority="2" operator="equal" aboveAverage="0" equalAverage="0" bottom="0" percent="0" rank="0" text="" dxfId="7">
      <formula>"Active"</formula>
    </cfRule>
    <cfRule type="cellIs" priority="3" operator="equal" aboveAverage="0" equalAverage="0" bottom="0" percent="0" rank="0" text="" dxfId="6">
      <formula>"Piloting"</formula>
    </cfRule>
    <cfRule type="cellIs" priority="4" operator="equal" aboveAverage="0" equalAverage="0" bottom="0" percent="0" rank="0" text="" dxfId="9">
      <formula>"Idea"</formula>
    </cfRule>
  </conditionalFormatting>
  <dataValidations count="1">
    <dataValidation allowBlank="true" errorStyle="stop" operator="between" showDropDown="false" showErrorMessage="false" showInputMessage="false" sqref="D5:D19" type="list">
      <formula1>"Idea,Planned,Piloting,Active,Discontinued"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2026-09-28T05:54:57Z</dcterms:created>
  <dc:creator>openpyxl</dc:creator>
  <dc:description/>
  <dc:language>en-US</dc:language>
  <cp:lastModifiedBy/>
  <dcterms:modified xsi:type="dcterms:W3CDTF">2026-09-28T05:54:58Z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